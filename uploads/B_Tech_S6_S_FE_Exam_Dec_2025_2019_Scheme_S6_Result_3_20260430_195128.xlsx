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All Results" sheetId="1" state="hidden" r:id="rId1"/>
    <sheet name="OVERALL SUMMARY" sheetId="2" r:id="rId2"/>
    <sheet name="CE" sheetId="3" r:id="rId3"/>
    <sheet name="CS" sheetId="4" r:id="rId4"/>
    <sheet name="EC" sheetId="5" r:id="rId5"/>
    <sheet name="EE" sheetId="6" r:id="rId6"/>
    <sheet name="ME" sheetId="7" r:id="rId7"/>
    <sheet name="_STUDENTS_" sheetId="8" state="hidden" r:id="rId8"/>
    <sheet name="_DATA_" sheetId="9" state="hidden" r:id="rId9"/>
  </sheets>
  <calcPr calcId="124519" fullCalcOnLoad="1"/>
</workbook>
</file>

<file path=xl/sharedStrings.xml><?xml version="1.0" encoding="utf-8"?>
<sst xmlns="http://schemas.openxmlformats.org/spreadsheetml/2006/main" count="4093" uniqueCount="285">
  <si>
    <t>Register No</t>
  </si>
  <si>
    <t>Year</t>
  </si>
  <si>
    <t>Dept</t>
  </si>
  <si>
    <t>Scheme</t>
  </si>
  <si>
    <t>Subject</t>
  </si>
  <si>
    <t>Subject Name</t>
  </si>
  <si>
    <t>Grade</t>
  </si>
  <si>
    <t>SGPA</t>
  </si>
  <si>
    <t>BMC20CS029</t>
  </si>
  <si>
    <t>2020</t>
  </si>
  <si>
    <t>CS</t>
  </si>
  <si>
    <t>2019</t>
  </si>
  <si>
    <t>CST306</t>
  </si>
  <si>
    <t>F</t>
  </si>
  <si>
    <t>BMC20CS044</t>
  </si>
  <si>
    <t>CST302</t>
  </si>
  <si>
    <t>BMC20CS049</t>
  </si>
  <si>
    <t>CST304</t>
  </si>
  <si>
    <t>P</t>
  </si>
  <si>
    <t>BMC20CS053</t>
  </si>
  <si>
    <t>CST362</t>
  </si>
  <si>
    <t>PROGRAMMING IN</t>
  </si>
  <si>
    <t>BMC20CS055</t>
  </si>
  <si>
    <t>BMC20CS056</t>
  </si>
  <si>
    <t>ABSENT</t>
  </si>
  <si>
    <t>BMC22CS001</t>
  </si>
  <si>
    <t>2022</t>
  </si>
  <si>
    <t>HUT300</t>
  </si>
  <si>
    <t>INDUSTRIAL</t>
  </si>
  <si>
    <t>BMC22CS005</t>
  </si>
  <si>
    <t>CST308</t>
  </si>
  <si>
    <t>COMPREHENSIVE</t>
  </si>
  <si>
    <t>CST372</t>
  </si>
  <si>
    <t>DATA AND</t>
  </si>
  <si>
    <t>BMC22CS006</t>
  </si>
  <si>
    <t>BMC22CS009</t>
  </si>
  <si>
    <t>BMC22CS011</t>
  </si>
  <si>
    <t>BMC22CS012</t>
  </si>
  <si>
    <t>BMC22CS014</t>
  </si>
  <si>
    <t>BMC22CS015</t>
  </si>
  <si>
    <t>BMC22CS016</t>
  </si>
  <si>
    <t>BMC22CS017</t>
  </si>
  <si>
    <t>BMC22CS022</t>
  </si>
  <si>
    <t>BMC22CS023</t>
  </si>
  <si>
    <t>BMC22CS024</t>
  </si>
  <si>
    <t>BMC22CS027</t>
  </si>
  <si>
    <t>BMC22CS028</t>
  </si>
  <si>
    <t>BMC22CS029</t>
  </si>
  <si>
    <t>BMC22CS031</t>
  </si>
  <si>
    <t>D</t>
  </si>
  <si>
    <t>BMC22CS034</t>
  </si>
  <si>
    <t>BMC22CS038</t>
  </si>
  <si>
    <t>BMC22CS043</t>
  </si>
  <si>
    <t>BMC22CS044</t>
  </si>
  <si>
    <t>BMC22CS047</t>
  </si>
  <si>
    <t>BMC22CS048</t>
  </si>
  <si>
    <t>BMC22CS051</t>
  </si>
  <si>
    <t>BMC22CS052</t>
  </si>
  <si>
    <t>BMC22CS061</t>
  </si>
  <si>
    <t>C</t>
  </si>
  <si>
    <t>BMC22CS064</t>
  </si>
  <si>
    <t>BMC22CS065</t>
  </si>
  <si>
    <t>WITHHELD</t>
  </si>
  <si>
    <t>BMC22CS067</t>
  </si>
  <si>
    <t>BMC22CS072</t>
  </si>
  <si>
    <t>BMC22CS073</t>
  </si>
  <si>
    <t>BMC22CS074</t>
  </si>
  <si>
    <t>BMC22CS078</t>
  </si>
  <si>
    <t>BMC22CS081</t>
  </si>
  <si>
    <t>BMC22CS084</t>
  </si>
  <si>
    <t>BMC22CS088</t>
  </si>
  <si>
    <t>BMC22CS096</t>
  </si>
  <si>
    <t>BMC22CS099</t>
  </si>
  <si>
    <t>BMC22CS100</t>
  </si>
  <si>
    <t>C+</t>
  </si>
  <si>
    <t>BMC22CS104</t>
  </si>
  <si>
    <t>BMC22CS105</t>
  </si>
  <si>
    <t>BMC22CS107</t>
  </si>
  <si>
    <t>BMC22CS108</t>
  </si>
  <si>
    <t>BMC22CS113</t>
  </si>
  <si>
    <t>BMC22CS114</t>
  </si>
  <si>
    <t>BMC22CS117</t>
  </si>
  <si>
    <t>BMC22CS118</t>
  </si>
  <si>
    <t>B</t>
  </si>
  <si>
    <t>BMC22CS119</t>
  </si>
  <si>
    <t>BMC19EC002</t>
  </si>
  <si>
    <t>EC</t>
  </si>
  <si>
    <t>ECT302</t>
  </si>
  <si>
    <t>ELECTROMAGNETICS</t>
  </si>
  <si>
    <t>ECT304</t>
  </si>
  <si>
    <t>VLSI CIRCUIT</t>
  </si>
  <si>
    <t>BMC21EC003</t>
  </si>
  <si>
    <t>2021</t>
  </si>
  <si>
    <t>BMC22EC001</t>
  </si>
  <si>
    <t>HUT310</t>
  </si>
  <si>
    <t>MANAGEMENT FOR</t>
  </si>
  <si>
    <t>ECT306</t>
  </si>
  <si>
    <t>INFORMATION</t>
  </si>
  <si>
    <t>ECT362</t>
  </si>
  <si>
    <t>INTRODUCTION TO MEMS</t>
  </si>
  <si>
    <t>BMC22EC002</t>
  </si>
  <si>
    <t>BMC22EC010</t>
  </si>
  <si>
    <t>ECT308</t>
  </si>
  <si>
    <t>BMC22EC013</t>
  </si>
  <si>
    <t>BMC22EC015</t>
  </si>
  <si>
    <t>LBMC22EC020</t>
  </si>
  <si>
    <t>LBMC22EC021</t>
  </si>
  <si>
    <t>BMC19EE004</t>
  </si>
  <si>
    <t>EE</t>
  </si>
  <si>
    <t>EET304</t>
  </si>
  <si>
    <t>POWER SYSTEMS II</t>
  </si>
  <si>
    <t>BMC19EE009</t>
  </si>
  <si>
    <t>EET302</t>
  </si>
  <si>
    <t>LINEAR</t>
  </si>
  <si>
    <t>EET312</t>
  </si>
  <si>
    <t>BIOMEDICAL INSTRUMENTATION</t>
  </si>
  <si>
    <t>BMC20EE011</t>
  </si>
  <si>
    <t>EET306</t>
  </si>
  <si>
    <t>BMC21EE004</t>
  </si>
  <si>
    <t>BMC21EE025</t>
  </si>
  <si>
    <t>BMC21EE028</t>
  </si>
  <si>
    <t>BMC22EE001</t>
  </si>
  <si>
    <t>EET308</t>
  </si>
  <si>
    <t>BMC22EE002</t>
  </si>
  <si>
    <t>BMC22EE003</t>
  </si>
  <si>
    <t>BMC22EE004</t>
  </si>
  <si>
    <t>BMC22EE005</t>
  </si>
  <si>
    <t>EEL334</t>
  </si>
  <si>
    <t>BMC22EE007</t>
  </si>
  <si>
    <t>BMC22EE008</t>
  </si>
  <si>
    <t>BMC22EE010</t>
  </si>
  <si>
    <t>BMC22EE011</t>
  </si>
  <si>
    <t>BMC22EE012</t>
  </si>
  <si>
    <t>BMC20CE010</t>
  </si>
  <si>
    <t>CE</t>
  </si>
  <si>
    <t>CET302</t>
  </si>
  <si>
    <t>STRUCTURAL</t>
  </si>
  <si>
    <t>BMC20CE035</t>
  </si>
  <si>
    <t>CET304</t>
  </si>
  <si>
    <t>CET306</t>
  </si>
  <si>
    <t>DESIGN OF</t>
  </si>
  <si>
    <t>BMC21CE003</t>
  </si>
  <si>
    <t>BMC21CE008</t>
  </si>
  <si>
    <t>BMC21CE012</t>
  </si>
  <si>
    <t>CET352</t>
  </si>
  <si>
    <t>BMC22CE001</t>
  </si>
  <si>
    <t>BMC22CE004</t>
  </si>
  <si>
    <t>CET308</t>
  </si>
  <si>
    <t>BMC22CE005</t>
  </si>
  <si>
    <t>BMC22CE008</t>
  </si>
  <si>
    <t>BMC22CE010</t>
  </si>
  <si>
    <t>BMC22CE011</t>
  </si>
  <si>
    <t>BMC22CE013</t>
  </si>
  <si>
    <t>BMC19ME010</t>
  </si>
  <si>
    <t>ME</t>
  </si>
  <si>
    <t>MET306</t>
  </si>
  <si>
    <t>BMC21ME002</t>
  </si>
  <si>
    <t>MET302</t>
  </si>
  <si>
    <t>BMC21ME008</t>
  </si>
  <si>
    <t>MET312</t>
  </si>
  <si>
    <t>NONDESTRUCTIVE</t>
  </si>
  <si>
    <t>BMC21ME009</t>
  </si>
  <si>
    <t>BMC21ME010</t>
  </si>
  <si>
    <t>BMC21ME011</t>
  </si>
  <si>
    <t>BMC21ME014</t>
  </si>
  <si>
    <t>MET308</t>
  </si>
  <si>
    <t>BMC22ME001</t>
  </si>
  <si>
    <t>BMC22ME002</t>
  </si>
  <si>
    <t>MET304</t>
  </si>
  <si>
    <t>BMC22ME003</t>
  </si>
  <si>
    <t>BMC22ME005</t>
  </si>
  <si>
    <t>BMC22ME006</t>
  </si>
  <si>
    <t>BMC22ME007</t>
  </si>
  <si>
    <t>BMC22ME008</t>
  </si>
  <si>
    <t>BMC22ME009</t>
  </si>
  <si>
    <t>BMC22ME010</t>
  </si>
  <si>
    <t>BMC22ME012</t>
  </si>
  <si>
    <t>BMC22ME013</t>
  </si>
  <si>
    <t>BMC22ME014</t>
  </si>
  <si>
    <t>BMC22ME016</t>
  </si>
  <si>
    <t>BMC22ME017</t>
  </si>
  <si>
    <t>BMC22ME018</t>
  </si>
  <si>
    <t>BMC22ME019</t>
  </si>
  <si>
    <t>KTU RESULT ANALYZER - OVERALL SUMMARY REPORT</t>
  </si>
  <si>
    <t>BASELIOS MATHEWS II COLLEGE OF ENGINEERING</t>
  </si>
  <si>
    <t>B.Tech S6 (S, FE) Exam Dec 2025 (2019 Scheme) (S6 Result)</t>
  </si>
  <si>
    <t>Dept_Subject_Key</t>
  </si>
  <si>
    <t>Appeared</t>
  </si>
  <si>
    <t>Passed</t>
  </si>
  <si>
    <t>Failed</t>
  </si>
  <si>
    <t>Pass_P</t>
  </si>
  <si>
    <t>Fail_P</t>
  </si>
  <si>
    <t>S</t>
  </si>
  <si>
    <t>A+</t>
  </si>
  <si>
    <t>A</t>
  </si>
  <si>
    <t>B+</t>
  </si>
  <si>
    <t>PASS</t>
  </si>
  <si>
    <t>FE</t>
  </si>
  <si>
    <t>Absent</t>
  </si>
  <si>
    <t>Withheld</t>
  </si>
  <si>
    <t>CE_DEPARTMENT</t>
  </si>
  <si>
    <t>CE_CET302</t>
  </si>
  <si>
    <t>-</t>
  </si>
  <si>
    <t>CE_CET304</t>
  </si>
  <si>
    <t>CE_CET306</t>
  </si>
  <si>
    <t>CE_CET308</t>
  </si>
  <si>
    <t>CE_CET352</t>
  </si>
  <si>
    <t>CE_HUT300</t>
  </si>
  <si>
    <t>CS_DEPARTMENT</t>
  </si>
  <si>
    <t>CS_CST302</t>
  </si>
  <si>
    <t>CS_CST304</t>
  </si>
  <si>
    <t>CS_CST306</t>
  </si>
  <si>
    <t>CS_CST308</t>
  </si>
  <si>
    <t>CS_CST362</t>
  </si>
  <si>
    <t>CS_CST372</t>
  </si>
  <si>
    <t>CS_HUT300</t>
  </si>
  <si>
    <t>EC_DEPARTMENT</t>
  </si>
  <si>
    <t>EC_ECT302</t>
  </si>
  <si>
    <t>EC_ECT304</t>
  </si>
  <si>
    <t>EC_ECT306</t>
  </si>
  <si>
    <t>EC_ECT308</t>
  </si>
  <si>
    <t>EC_ECT362</t>
  </si>
  <si>
    <t>EC_HUT310</t>
  </si>
  <si>
    <t>EE_DEPARTMENT</t>
  </si>
  <si>
    <t>EE_EEL334</t>
  </si>
  <si>
    <t>EE_EET302</t>
  </si>
  <si>
    <t>EE_EET304</t>
  </si>
  <si>
    <t>EE_EET306</t>
  </si>
  <si>
    <t>EE_EET308</t>
  </si>
  <si>
    <t>EE_EET312</t>
  </si>
  <si>
    <t>EE_HUT310</t>
  </si>
  <si>
    <t>ME_DEPARTMENT</t>
  </si>
  <si>
    <t>ME_HUT310</t>
  </si>
  <si>
    <t>ME_MET302</t>
  </si>
  <si>
    <t>ME_MET304</t>
  </si>
  <si>
    <t>ME_MET306</t>
  </si>
  <si>
    <t>ME_MET308</t>
  </si>
  <si>
    <t>ME_MET312</t>
  </si>
  <si>
    <t>OVERALL STATISTICS - REGULAR STUDENTS ONLY</t>
  </si>
  <si>
    <t>Total Reg Students</t>
  </si>
  <si>
    <t>Total Passed</t>
  </si>
  <si>
    <t>Total Failed</t>
  </si>
  <si>
    <t>Overall Pass %</t>
  </si>
  <si>
    <t>Overall Fail %</t>
  </si>
  <si>
    <t>DEPARTMENT-WISE PERFORMANCE ANALYSIS</t>
  </si>
  <si>
    <t>Department Name</t>
  </si>
  <si>
    <t>Total Regular Students</t>
  </si>
  <si>
    <t>Total Pass</t>
  </si>
  <si>
    <t>Total Fail</t>
  </si>
  <si>
    <t>Pass %</t>
  </si>
  <si>
    <t>Fail %</t>
  </si>
  <si>
    <t>TOP 5 PERFORMING SUBJECTS</t>
  </si>
  <si>
    <t>Rank</t>
  </si>
  <si>
    <t>Subject Code</t>
  </si>
  <si>
    <t>Department</t>
  </si>
  <si>
    <t>Total Students</t>
  </si>
  <si>
    <t>Pass</t>
  </si>
  <si>
    <t>Fail</t>
  </si>
  <si>
    <t>BOTTOM 5 PERFORMING SUBJECTS (NEEDS ATTENTION)</t>
  </si>
  <si>
    <t>KTU RESULT ANALYZER</t>
  </si>
  <si>
    <t>Department: CE</t>
  </si>
  <si>
    <t>📊 Overall Stats: 12 Students | 7 Regular | 5 Backlog</t>
  </si>
  <si>
    <t>SUBJECT ANALYTICS DASHBOARD</t>
  </si>
  <si>
    <t>Select Subject:</t>
  </si>
  <si>
    <t>Pass Rate</t>
  </si>
  <si>
    <t>Fail Rate</t>
  </si>
  <si>
    <t>BATCH - 2020</t>
  </si>
  <si>
    <t>Arrears</t>
  </si>
  <si>
    <t>BATCH - 2021</t>
  </si>
  <si>
    <t>BATCH - 2022</t>
  </si>
  <si>
    <t>DEPARTMENT PERFORMANCE ANALYSIS (BATCH 2022)</t>
  </si>
  <si>
    <t>Batch</t>
  </si>
  <si>
    <t>SUBJECT-WISE ANALYSIS (BATCH - 2022)</t>
  </si>
  <si>
    <t>SubCode</t>
  </si>
  <si>
    <t>Pass%</t>
  </si>
  <si>
    <t>Fail%</t>
  </si>
  <si>
    <t>Department: CS</t>
  </si>
  <si>
    <t>📊 Overall Stats: 54 Students | 48 Regular | 6 Backlog</t>
  </si>
  <si>
    <t>Department: EC</t>
  </si>
  <si>
    <t>📊 Overall Stats: 9 Students | 7 Regular | 2 Backlog</t>
  </si>
  <si>
    <t>BATCH - 2019</t>
  </si>
  <si>
    <t>Department: EE</t>
  </si>
  <si>
    <t>📊 Overall Stats: 16 Students | 10 Regular | 6 Backlog</t>
  </si>
  <si>
    <t>Department: ME</t>
  </si>
  <si>
    <t>📊 Overall Stats: 23 Students | 16 Regular | 7 Backlog</t>
  </si>
</sst>
</file>

<file path=xl/styles.xml><?xml version="1.0" encoding="utf-8"?>
<styleSheet xmlns="http://schemas.openxmlformats.org/spreadsheetml/2006/main">
  <numFmts count="4">
    <numFmt numFmtId="164" formatCode="00.0"/>
    <numFmt numFmtId="165" formatCode="0.0&quot;%&quot;"/>
    <numFmt numFmtId="166" formatCode="0.00"/>
    <numFmt numFmtId="167" formatCode="0.0"/>
  </numFmts>
  <fonts count="13">
    <font>
      <sz val="11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475569"/>
      <name val="Calibri"/>
      <family val="2"/>
      <scheme val="minor"/>
    </font>
    <font>
      <b/>
      <sz val="20"/>
      <color rgb="FF002060"/>
      <name val="Calibri"/>
      <family val="2"/>
      <scheme val="minor"/>
    </font>
    <font>
      <b/>
      <sz val="20"/>
      <color rgb="FF00B050"/>
      <name val="Calibri"/>
      <family val="2"/>
      <scheme val="minor"/>
    </font>
    <font>
      <b/>
      <sz val="20"/>
      <color rgb="FFC00000"/>
      <name val="Calibri"/>
      <family val="2"/>
      <scheme val="minor"/>
    </font>
    <font>
      <b/>
      <sz val="18"/>
      <color rgb="FF4B5563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E3A8A"/>
        <bgColor indexed="64"/>
      </patternFill>
    </fill>
    <fill>
      <patternFill patternType="solid">
        <fgColor rgb="FF9333EA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FACC15"/>
        <bgColor indexed="64"/>
      </patternFill>
    </fill>
    <fill>
      <patternFill patternType="solid">
        <fgColor rgb="FFF97316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10B981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F8FAF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ACC15"/>
      </left>
      <right style="medium">
        <color rgb="FFFACC15"/>
      </right>
      <top style="medium">
        <color rgb="FFFACC15"/>
      </top>
      <bottom style="medium">
        <color rgb="FFFACC15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164" fontId="6" fillId="7" borderId="1" xfId="0" applyNumberFormat="1" applyFont="1" applyFill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164" fontId="0" fillId="10" borderId="1" xfId="0" applyNumberForma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4" fontId="6" fillId="10" borderId="1" xfId="0" applyNumberFormat="1" applyFont="1" applyFill="1" applyBorder="1" applyAlignment="1">
      <alignment horizontal="center"/>
    </xf>
    <xf numFmtId="0" fontId="6" fillId="11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13" borderId="2" xfId="0" applyFont="1" applyFill="1" applyBorder="1" applyAlignment="1">
      <alignment horizontal="center" vertical="center"/>
    </xf>
    <xf numFmtId="0" fontId="8" fillId="14" borderId="0" xfId="0" applyFont="1" applyFill="1" applyAlignment="1">
      <alignment horizontal="center"/>
    </xf>
    <xf numFmtId="0" fontId="9" fillId="14" borderId="0" xfId="0" applyFont="1" applyFill="1" applyAlignment="1">
      <alignment horizontal="center"/>
    </xf>
    <xf numFmtId="0" fontId="10" fillId="14" borderId="0" xfId="0" applyFont="1" applyFill="1" applyAlignment="1">
      <alignment horizontal="center"/>
    </xf>
    <xf numFmtId="0" fontId="11" fillId="14" borderId="0" xfId="0" applyFont="1" applyFill="1" applyAlignment="1">
      <alignment horizontal="center"/>
    </xf>
    <xf numFmtId="165" fontId="12" fillId="14" borderId="0" xfId="0" applyNumberFormat="1" applyFont="1" applyFill="1" applyAlignment="1">
      <alignment horizontal="center"/>
    </xf>
    <xf numFmtId="166" fontId="0" fillId="7" borderId="1" xfId="0" applyNumberFormat="1" applyFill="1" applyBorder="1" applyAlignment="1">
      <alignment horizontal="center"/>
    </xf>
    <xf numFmtId="166" fontId="0" fillId="10" borderId="1" xfId="0" applyNumberFormat="1" applyFill="1" applyBorder="1" applyAlignment="1">
      <alignment horizontal="center"/>
    </xf>
    <xf numFmtId="167" fontId="6" fillId="7" borderId="1" xfId="0" applyNumberFormat="1" applyFont="1" applyFill="1" applyBorder="1" applyAlignment="1">
      <alignment horizontal="center"/>
    </xf>
    <xf numFmtId="167" fontId="0" fillId="7" borderId="1" xfId="0" applyNumberFormat="1" applyFill="1" applyBorder="1" applyAlignment="1">
      <alignment horizontal="center"/>
    </xf>
    <xf numFmtId="167" fontId="0" fillId="10" borderId="1" xfId="0" applyNumberFormat="1" applyFill="1" applyBorder="1" applyAlignment="1">
      <alignment horizontal="center"/>
    </xf>
  </cellXfs>
  <cellStyles count="1">
    <cellStyle name="Normal" xfId="0" builtinId="0"/>
  </cellStyles>
  <dxfs count="7">
    <dxf>
      <font>
        <b/>
        <color rgb="FFC00000"/>
      </font>
      <numFmt numFmtId="164" formatCode="00.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C0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B050"/>
      </font>
      <numFmt numFmtId="166" formatCode="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70AD47"/>
      </font>
      <numFmt numFmtId="166" formatCode="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C000"/>
      </font>
      <numFmt numFmtId="166" formatCode="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0000"/>
      </font>
      <numFmt numFmtId="166" formatCode="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C00000"/>
      </font>
      <numFmt numFmtId="167" formatCode="0.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CE!$AZ$506:$AZ$519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CE!$BA$506:$BA$519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CE!$AZ$521:$AZ$523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CE!$BA$521:$BA$523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CS!$AZ$506:$AZ$519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CS!$BA$506:$BA$519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CS!$AZ$521:$AZ$523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CS!$BA$521:$BA$523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EC!$AZ$506:$AZ$519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EC!$BA$506:$BA$519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EC!$AZ$521:$AZ$523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EC!$BA$521:$BA$523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EE!$AZ$506:$AZ$519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EE!$BA$506:$BA$519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EE!$AZ$521:$AZ$523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EE!$BA$521:$BA$523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80001"/>
        <c:axId val="50080002"/>
      </c:barChart>
      <c:catAx>
        <c:axId val="50080001"/>
        <c:scaling>
          <c:orientation val="minMax"/>
        </c:scaling>
        <c:axPos val="b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numFmt formatCode="General" sourceLinked="1"/>
        <c:tickLblPos val="nextTo"/>
        <c:crossAx val="500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ME!$AZ$506:$AZ$519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ME!$BA$506:$BA$519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ME!$AZ$521:$AZ$523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ME!$BA$521:$BA$523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100001"/>
        <c:axId val="50100002"/>
      </c:barChart>
      <c:catAx>
        <c:axId val="50100001"/>
        <c:scaling>
          <c:orientation val="minMax"/>
        </c:scaling>
        <c:axPos val="b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/>
        <c:numFmt formatCode="General" sourceLinked="1"/>
        <c:tickLblPos val="nextTo"/>
        <c:crossAx val="501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5</xdr:col>
      <xdr:colOff>381000</xdr:colOff>
      <xdr:row>28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13</xdr:row>
      <xdr:rowOff>0</xdr:rowOff>
    </xdr:from>
    <xdr:to>
      <xdr:col>15</xdr:col>
      <xdr:colOff>0</xdr:colOff>
      <xdr:row>28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5</xdr:col>
      <xdr:colOff>381000</xdr:colOff>
      <xdr:row>28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13</xdr:row>
      <xdr:rowOff>0</xdr:rowOff>
    </xdr:from>
    <xdr:to>
      <xdr:col>14</xdr:col>
      <xdr:colOff>171450</xdr:colOff>
      <xdr:row>28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5</xdr:col>
      <xdr:colOff>381000</xdr:colOff>
      <xdr:row>28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13</xdr:row>
      <xdr:rowOff>0</xdr:rowOff>
    </xdr:from>
    <xdr:to>
      <xdr:col>14</xdr:col>
      <xdr:colOff>171450</xdr:colOff>
      <xdr:row>28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5</xdr:col>
      <xdr:colOff>381000</xdr:colOff>
      <xdr:row>28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13</xdr:row>
      <xdr:rowOff>0</xdr:rowOff>
    </xdr:from>
    <xdr:to>
      <xdr:col>14</xdr:col>
      <xdr:colOff>171450</xdr:colOff>
      <xdr:row>28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5</xdr:col>
      <xdr:colOff>381000</xdr:colOff>
      <xdr:row>28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13</xdr:row>
      <xdr:rowOff>0</xdr:rowOff>
    </xdr:from>
    <xdr:to>
      <xdr:col>14</xdr:col>
      <xdr:colOff>171450</xdr:colOff>
      <xdr:row>28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8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12</v>
      </c>
      <c r="G2" s="2" t="s">
        <v>13</v>
      </c>
      <c r="H2" s="2">
        <v>0</v>
      </c>
    </row>
    <row r="3" spans="1:8">
      <c r="A3" s="2" t="s">
        <v>14</v>
      </c>
      <c r="B3" s="2" t="s">
        <v>9</v>
      </c>
      <c r="C3" s="2" t="s">
        <v>10</v>
      </c>
      <c r="D3" s="2" t="s">
        <v>11</v>
      </c>
      <c r="E3" s="2" t="s">
        <v>15</v>
      </c>
      <c r="F3" s="2" t="s">
        <v>15</v>
      </c>
      <c r="G3" s="2" t="s">
        <v>13</v>
      </c>
      <c r="H3" s="2">
        <v>0</v>
      </c>
    </row>
    <row r="4" spans="1:8">
      <c r="A4" s="2" t="s">
        <v>16</v>
      </c>
      <c r="B4" s="2" t="s">
        <v>9</v>
      </c>
      <c r="C4" s="2" t="s">
        <v>10</v>
      </c>
      <c r="D4" s="2" t="s">
        <v>11</v>
      </c>
      <c r="E4" s="2" t="s">
        <v>17</v>
      </c>
      <c r="F4" s="2" t="s">
        <v>17</v>
      </c>
      <c r="G4" s="2" t="s">
        <v>18</v>
      </c>
      <c r="H4" s="2">
        <v>5.5</v>
      </c>
    </row>
    <row r="5" spans="1:8">
      <c r="A5" s="2" t="s">
        <v>19</v>
      </c>
      <c r="B5" s="2" t="s">
        <v>9</v>
      </c>
      <c r="C5" s="2" t="s">
        <v>10</v>
      </c>
      <c r="D5" s="2" t="s">
        <v>11</v>
      </c>
      <c r="E5" s="2" t="s">
        <v>20</v>
      </c>
      <c r="F5" s="2" t="s">
        <v>21</v>
      </c>
      <c r="G5" s="2" t="s">
        <v>13</v>
      </c>
      <c r="H5" s="2">
        <v>0</v>
      </c>
    </row>
    <row r="6" spans="1:8">
      <c r="A6" s="2" t="s">
        <v>22</v>
      </c>
      <c r="B6" s="2" t="s">
        <v>9</v>
      </c>
      <c r="C6" s="2" t="s">
        <v>10</v>
      </c>
      <c r="D6" s="2" t="s">
        <v>11</v>
      </c>
      <c r="E6" s="2" t="s">
        <v>20</v>
      </c>
      <c r="F6" s="2" t="s">
        <v>21</v>
      </c>
      <c r="G6" s="2" t="s">
        <v>18</v>
      </c>
      <c r="H6" s="2">
        <v>5.5</v>
      </c>
    </row>
    <row r="7" spans="1:8">
      <c r="A7" s="2" t="s">
        <v>23</v>
      </c>
      <c r="B7" s="2" t="s">
        <v>9</v>
      </c>
      <c r="C7" s="2" t="s">
        <v>10</v>
      </c>
      <c r="D7" s="2" t="s">
        <v>11</v>
      </c>
      <c r="E7" s="2" t="s">
        <v>17</v>
      </c>
      <c r="F7" s="2" t="s">
        <v>17</v>
      </c>
      <c r="G7" s="2" t="s">
        <v>24</v>
      </c>
      <c r="H7" s="2">
        <v>0</v>
      </c>
    </row>
    <row r="8" spans="1:8">
      <c r="A8" s="2" t="s">
        <v>23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12</v>
      </c>
      <c r="G8" s="2" t="s">
        <v>24</v>
      </c>
      <c r="H8" s="2">
        <v>0</v>
      </c>
    </row>
    <row r="9" spans="1:8">
      <c r="A9" s="2" t="s">
        <v>23</v>
      </c>
      <c r="B9" s="2" t="s">
        <v>9</v>
      </c>
      <c r="C9" s="2" t="s">
        <v>10</v>
      </c>
      <c r="D9" s="2" t="s">
        <v>11</v>
      </c>
      <c r="E9" s="2" t="s">
        <v>20</v>
      </c>
      <c r="F9" s="2" t="s">
        <v>21</v>
      </c>
      <c r="G9" s="2" t="s">
        <v>24</v>
      </c>
      <c r="H9" s="2">
        <v>0</v>
      </c>
    </row>
    <row r="10" spans="1:8">
      <c r="A10" s="2" t="s">
        <v>25</v>
      </c>
      <c r="B10" s="2" t="s">
        <v>26</v>
      </c>
      <c r="C10" s="2" t="s">
        <v>10</v>
      </c>
      <c r="D10" s="2" t="s">
        <v>11</v>
      </c>
      <c r="E10" s="2" t="s">
        <v>27</v>
      </c>
      <c r="F10" s="2" t="s">
        <v>28</v>
      </c>
      <c r="G10" s="2" t="s">
        <v>13</v>
      </c>
      <c r="H10" s="2">
        <v>0</v>
      </c>
    </row>
    <row r="11" spans="1:8">
      <c r="A11" s="2" t="s">
        <v>25</v>
      </c>
      <c r="B11" s="2" t="s">
        <v>26</v>
      </c>
      <c r="C11" s="2" t="s">
        <v>10</v>
      </c>
      <c r="D11" s="2" t="s">
        <v>11</v>
      </c>
      <c r="E11" s="2" t="s">
        <v>12</v>
      </c>
      <c r="F11" s="2" t="s">
        <v>12</v>
      </c>
      <c r="G11" s="2" t="s">
        <v>18</v>
      </c>
      <c r="H11" s="2">
        <v>0</v>
      </c>
    </row>
    <row r="12" spans="1:8">
      <c r="A12" s="2" t="s">
        <v>29</v>
      </c>
      <c r="B12" s="2" t="s">
        <v>26</v>
      </c>
      <c r="C12" s="2" t="s">
        <v>10</v>
      </c>
      <c r="D12" s="2" t="s">
        <v>11</v>
      </c>
      <c r="E12" s="2" t="s">
        <v>27</v>
      </c>
      <c r="F12" s="2" t="s">
        <v>28</v>
      </c>
      <c r="G12" s="2" t="s">
        <v>24</v>
      </c>
      <c r="H12" s="2">
        <v>0</v>
      </c>
    </row>
    <row r="13" spans="1:8">
      <c r="A13" s="2" t="s">
        <v>29</v>
      </c>
      <c r="B13" s="2" t="s">
        <v>26</v>
      </c>
      <c r="C13" s="2" t="s">
        <v>10</v>
      </c>
      <c r="D13" s="2" t="s">
        <v>11</v>
      </c>
      <c r="E13" s="2" t="s">
        <v>30</v>
      </c>
      <c r="F13" s="2" t="s">
        <v>31</v>
      </c>
      <c r="G13" s="2" t="s">
        <v>24</v>
      </c>
      <c r="H13" s="2">
        <v>0</v>
      </c>
    </row>
    <row r="14" spans="1:8">
      <c r="A14" s="2" t="s">
        <v>29</v>
      </c>
      <c r="B14" s="2" t="s">
        <v>26</v>
      </c>
      <c r="C14" s="2" t="s">
        <v>10</v>
      </c>
      <c r="D14" s="2" t="s">
        <v>11</v>
      </c>
      <c r="E14" s="2" t="s">
        <v>32</v>
      </c>
      <c r="F14" s="2" t="s">
        <v>33</v>
      </c>
      <c r="G14" s="2" t="s">
        <v>24</v>
      </c>
      <c r="H14" s="2">
        <v>0</v>
      </c>
    </row>
    <row r="15" spans="1:8">
      <c r="A15" s="2" t="s">
        <v>34</v>
      </c>
      <c r="B15" s="2" t="s">
        <v>26</v>
      </c>
      <c r="C15" s="2" t="s">
        <v>10</v>
      </c>
      <c r="D15" s="2" t="s">
        <v>11</v>
      </c>
      <c r="E15" s="2" t="s">
        <v>27</v>
      </c>
      <c r="F15" s="2" t="s">
        <v>28</v>
      </c>
      <c r="G15" s="2" t="s">
        <v>13</v>
      </c>
      <c r="H15" s="2">
        <v>0</v>
      </c>
    </row>
    <row r="16" spans="1:8">
      <c r="A16" s="2" t="s">
        <v>34</v>
      </c>
      <c r="B16" s="2" t="s">
        <v>26</v>
      </c>
      <c r="C16" s="2" t="s">
        <v>10</v>
      </c>
      <c r="D16" s="2" t="s">
        <v>11</v>
      </c>
      <c r="E16" s="2" t="s">
        <v>30</v>
      </c>
      <c r="F16" s="2" t="s">
        <v>31</v>
      </c>
      <c r="G16" s="2" t="s">
        <v>13</v>
      </c>
      <c r="H16" s="2">
        <v>0</v>
      </c>
    </row>
    <row r="17" spans="1:8">
      <c r="A17" s="2" t="s">
        <v>35</v>
      </c>
      <c r="B17" s="2" t="s">
        <v>26</v>
      </c>
      <c r="C17" s="2" t="s">
        <v>10</v>
      </c>
      <c r="D17" s="2" t="s">
        <v>11</v>
      </c>
      <c r="E17" s="2" t="s">
        <v>27</v>
      </c>
      <c r="F17" s="2" t="s">
        <v>28</v>
      </c>
      <c r="G17" s="2" t="s">
        <v>13</v>
      </c>
      <c r="H17" s="2">
        <v>0</v>
      </c>
    </row>
    <row r="18" spans="1:8">
      <c r="A18" s="2" t="s">
        <v>35</v>
      </c>
      <c r="B18" s="2" t="s">
        <v>26</v>
      </c>
      <c r="C18" s="2" t="s">
        <v>10</v>
      </c>
      <c r="D18" s="2" t="s">
        <v>11</v>
      </c>
      <c r="E18" s="2" t="s">
        <v>15</v>
      </c>
      <c r="F18" s="2" t="s">
        <v>15</v>
      </c>
      <c r="G18" s="2" t="s">
        <v>13</v>
      </c>
      <c r="H18" s="2">
        <v>0</v>
      </c>
    </row>
    <row r="19" spans="1:8">
      <c r="A19" s="2" t="s">
        <v>35</v>
      </c>
      <c r="B19" s="2" t="s">
        <v>26</v>
      </c>
      <c r="C19" s="2" t="s">
        <v>10</v>
      </c>
      <c r="D19" s="2" t="s">
        <v>11</v>
      </c>
      <c r="E19" s="2" t="s">
        <v>12</v>
      </c>
      <c r="F19" s="2" t="s">
        <v>12</v>
      </c>
      <c r="G19" s="2" t="s">
        <v>13</v>
      </c>
      <c r="H19" s="2">
        <v>0</v>
      </c>
    </row>
    <row r="20" spans="1:8">
      <c r="A20" s="2" t="s">
        <v>36</v>
      </c>
      <c r="B20" s="2" t="s">
        <v>26</v>
      </c>
      <c r="C20" s="2" t="s">
        <v>10</v>
      </c>
      <c r="D20" s="2" t="s">
        <v>11</v>
      </c>
      <c r="E20" s="2" t="s">
        <v>27</v>
      </c>
      <c r="F20" s="2" t="s">
        <v>28</v>
      </c>
      <c r="G20" s="2" t="s">
        <v>13</v>
      </c>
      <c r="H20" s="2">
        <v>0</v>
      </c>
    </row>
    <row r="21" spans="1:8">
      <c r="A21" s="2" t="s">
        <v>36</v>
      </c>
      <c r="B21" s="2" t="s">
        <v>26</v>
      </c>
      <c r="C21" s="2" t="s">
        <v>10</v>
      </c>
      <c r="D21" s="2" t="s">
        <v>11</v>
      </c>
      <c r="E21" s="2" t="s">
        <v>15</v>
      </c>
      <c r="F21" s="2" t="s">
        <v>15</v>
      </c>
      <c r="G21" s="2" t="s">
        <v>13</v>
      </c>
      <c r="H21" s="2">
        <v>0</v>
      </c>
    </row>
    <row r="22" spans="1:8">
      <c r="A22" s="2" t="s">
        <v>37</v>
      </c>
      <c r="B22" s="2" t="s">
        <v>26</v>
      </c>
      <c r="C22" s="2" t="s">
        <v>10</v>
      </c>
      <c r="D22" s="2" t="s">
        <v>11</v>
      </c>
      <c r="E22" s="2" t="s">
        <v>27</v>
      </c>
      <c r="F22" s="2" t="s">
        <v>28</v>
      </c>
      <c r="G22" s="2" t="s">
        <v>18</v>
      </c>
      <c r="H22" s="2">
        <v>5.5</v>
      </c>
    </row>
    <row r="23" spans="1:8">
      <c r="A23" s="2" t="s">
        <v>37</v>
      </c>
      <c r="B23" s="2" t="s">
        <v>26</v>
      </c>
      <c r="C23" s="2" t="s">
        <v>10</v>
      </c>
      <c r="D23" s="2" t="s">
        <v>11</v>
      </c>
      <c r="E23" s="2" t="s">
        <v>15</v>
      </c>
      <c r="F23" s="2" t="s">
        <v>15</v>
      </c>
      <c r="G23" s="2" t="s">
        <v>18</v>
      </c>
      <c r="H23" s="2">
        <v>5.5</v>
      </c>
    </row>
    <row r="24" spans="1:8">
      <c r="A24" s="2" t="s">
        <v>37</v>
      </c>
      <c r="B24" s="2" t="s">
        <v>26</v>
      </c>
      <c r="C24" s="2" t="s">
        <v>10</v>
      </c>
      <c r="D24" s="2" t="s">
        <v>11</v>
      </c>
      <c r="E24" s="2" t="s">
        <v>32</v>
      </c>
      <c r="F24" s="2" t="s">
        <v>33</v>
      </c>
      <c r="G24" s="2" t="s">
        <v>18</v>
      </c>
      <c r="H24" s="2">
        <v>5.5</v>
      </c>
    </row>
    <row r="25" spans="1:8">
      <c r="A25" s="2" t="s">
        <v>38</v>
      </c>
      <c r="B25" s="2" t="s">
        <v>26</v>
      </c>
      <c r="C25" s="2" t="s">
        <v>10</v>
      </c>
      <c r="D25" s="2" t="s">
        <v>11</v>
      </c>
      <c r="E25" s="2" t="s">
        <v>30</v>
      </c>
      <c r="F25" s="2" t="s">
        <v>31</v>
      </c>
      <c r="G25" s="2" t="s">
        <v>13</v>
      </c>
      <c r="H25" s="2">
        <v>0</v>
      </c>
    </row>
    <row r="26" spans="1:8">
      <c r="A26" s="2" t="s">
        <v>39</v>
      </c>
      <c r="B26" s="2" t="s">
        <v>26</v>
      </c>
      <c r="C26" s="2" t="s">
        <v>10</v>
      </c>
      <c r="D26" s="2" t="s">
        <v>11</v>
      </c>
      <c r="E26" s="2" t="s">
        <v>30</v>
      </c>
      <c r="F26" s="2" t="s">
        <v>31</v>
      </c>
      <c r="G26" s="2" t="s">
        <v>18</v>
      </c>
      <c r="H26" s="2">
        <v>5.5</v>
      </c>
    </row>
    <row r="27" spans="1:8">
      <c r="A27" s="2" t="s">
        <v>40</v>
      </c>
      <c r="B27" s="2" t="s">
        <v>26</v>
      </c>
      <c r="C27" s="2" t="s">
        <v>10</v>
      </c>
      <c r="D27" s="2" t="s">
        <v>11</v>
      </c>
      <c r="E27" s="2" t="s">
        <v>27</v>
      </c>
      <c r="F27" s="2" t="s">
        <v>28</v>
      </c>
      <c r="G27" s="2" t="s">
        <v>13</v>
      </c>
      <c r="H27" s="2">
        <v>0</v>
      </c>
    </row>
    <row r="28" spans="1:8">
      <c r="A28" s="2" t="s">
        <v>40</v>
      </c>
      <c r="B28" s="2" t="s">
        <v>26</v>
      </c>
      <c r="C28" s="2" t="s">
        <v>10</v>
      </c>
      <c r="D28" s="2" t="s">
        <v>11</v>
      </c>
      <c r="E28" s="2" t="s">
        <v>15</v>
      </c>
      <c r="F28" s="2" t="s">
        <v>15</v>
      </c>
      <c r="G28" s="2" t="s">
        <v>13</v>
      </c>
      <c r="H28" s="2">
        <v>0</v>
      </c>
    </row>
    <row r="29" spans="1:8">
      <c r="A29" s="2" t="s">
        <v>41</v>
      </c>
      <c r="B29" s="2" t="s">
        <v>26</v>
      </c>
      <c r="C29" s="2" t="s">
        <v>10</v>
      </c>
      <c r="D29" s="2" t="s">
        <v>11</v>
      </c>
      <c r="E29" s="2" t="s">
        <v>27</v>
      </c>
      <c r="F29" s="2" t="s">
        <v>28</v>
      </c>
      <c r="G29" s="2" t="s">
        <v>13</v>
      </c>
      <c r="H29" s="2">
        <v>0</v>
      </c>
    </row>
    <row r="30" spans="1:8">
      <c r="A30" s="2" t="s">
        <v>41</v>
      </c>
      <c r="B30" s="2" t="s">
        <v>26</v>
      </c>
      <c r="C30" s="2" t="s">
        <v>10</v>
      </c>
      <c r="D30" s="2" t="s">
        <v>11</v>
      </c>
      <c r="E30" s="2" t="s">
        <v>15</v>
      </c>
      <c r="F30" s="2" t="s">
        <v>15</v>
      </c>
      <c r="G30" s="2" t="s">
        <v>13</v>
      </c>
      <c r="H30" s="2">
        <v>0</v>
      </c>
    </row>
    <row r="31" spans="1:8">
      <c r="A31" s="2" t="s">
        <v>41</v>
      </c>
      <c r="B31" s="2" t="s">
        <v>26</v>
      </c>
      <c r="C31" s="2" t="s">
        <v>10</v>
      </c>
      <c r="D31" s="2" t="s">
        <v>11</v>
      </c>
      <c r="E31" s="2" t="s">
        <v>12</v>
      </c>
      <c r="F31" s="2" t="s">
        <v>12</v>
      </c>
      <c r="G31" s="2" t="s">
        <v>24</v>
      </c>
      <c r="H31" s="2">
        <v>0</v>
      </c>
    </row>
    <row r="32" spans="1:8">
      <c r="A32" s="2" t="s">
        <v>41</v>
      </c>
      <c r="B32" s="2" t="s">
        <v>26</v>
      </c>
      <c r="C32" s="2" t="s">
        <v>10</v>
      </c>
      <c r="D32" s="2" t="s">
        <v>11</v>
      </c>
      <c r="E32" s="2" t="s">
        <v>32</v>
      </c>
      <c r="F32" s="2" t="s">
        <v>33</v>
      </c>
      <c r="G32" s="2" t="s">
        <v>18</v>
      </c>
      <c r="H32" s="2">
        <v>0</v>
      </c>
    </row>
    <row r="33" spans="1:8">
      <c r="A33" s="2" t="s">
        <v>42</v>
      </c>
      <c r="B33" s="2" t="s">
        <v>26</v>
      </c>
      <c r="C33" s="2" t="s">
        <v>10</v>
      </c>
      <c r="D33" s="2" t="s">
        <v>11</v>
      </c>
      <c r="E33" s="2" t="s">
        <v>27</v>
      </c>
      <c r="F33" s="2" t="s">
        <v>28</v>
      </c>
      <c r="G33" s="2" t="s">
        <v>13</v>
      </c>
      <c r="H33" s="2">
        <v>0</v>
      </c>
    </row>
    <row r="34" spans="1:8">
      <c r="A34" s="2" t="s">
        <v>42</v>
      </c>
      <c r="B34" s="2" t="s">
        <v>26</v>
      </c>
      <c r="C34" s="2" t="s">
        <v>10</v>
      </c>
      <c r="D34" s="2" t="s">
        <v>11</v>
      </c>
      <c r="E34" s="2" t="s">
        <v>17</v>
      </c>
      <c r="F34" s="2" t="s">
        <v>17</v>
      </c>
      <c r="G34" s="2" t="s">
        <v>13</v>
      </c>
      <c r="H34" s="2">
        <v>0</v>
      </c>
    </row>
    <row r="35" spans="1:8">
      <c r="A35" s="2" t="s">
        <v>43</v>
      </c>
      <c r="B35" s="2" t="s">
        <v>26</v>
      </c>
      <c r="C35" s="2" t="s">
        <v>10</v>
      </c>
      <c r="D35" s="2" t="s">
        <v>11</v>
      </c>
      <c r="E35" s="2" t="s">
        <v>27</v>
      </c>
      <c r="F35" s="2" t="s">
        <v>28</v>
      </c>
      <c r="G35" s="2" t="s">
        <v>13</v>
      </c>
      <c r="H35" s="2">
        <v>0</v>
      </c>
    </row>
    <row r="36" spans="1:8">
      <c r="A36" s="2" t="s">
        <v>43</v>
      </c>
      <c r="B36" s="2" t="s">
        <v>26</v>
      </c>
      <c r="C36" s="2" t="s">
        <v>10</v>
      </c>
      <c r="D36" s="2" t="s">
        <v>11</v>
      </c>
      <c r="E36" s="2" t="s">
        <v>17</v>
      </c>
      <c r="F36" s="2" t="s">
        <v>17</v>
      </c>
      <c r="G36" s="2" t="s">
        <v>13</v>
      </c>
      <c r="H36" s="2">
        <v>0</v>
      </c>
    </row>
    <row r="37" spans="1:8">
      <c r="A37" s="2" t="s">
        <v>44</v>
      </c>
      <c r="B37" s="2" t="s">
        <v>26</v>
      </c>
      <c r="C37" s="2" t="s">
        <v>10</v>
      </c>
      <c r="D37" s="2" t="s">
        <v>11</v>
      </c>
      <c r="E37" s="2" t="s">
        <v>27</v>
      </c>
      <c r="F37" s="2" t="s">
        <v>28</v>
      </c>
      <c r="G37" s="2" t="s">
        <v>18</v>
      </c>
      <c r="H37" s="2">
        <v>5.5</v>
      </c>
    </row>
    <row r="38" spans="1:8">
      <c r="A38" s="2" t="s">
        <v>45</v>
      </c>
      <c r="B38" s="2" t="s">
        <v>26</v>
      </c>
      <c r="C38" s="2" t="s">
        <v>10</v>
      </c>
      <c r="D38" s="2" t="s">
        <v>11</v>
      </c>
      <c r="E38" s="2" t="s">
        <v>27</v>
      </c>
      <c r="F38" s="2" t="s">
        <v>28</v>
      </c>
      <c r="G38" s="2" t="s">
        <v>13</v>
      </c>
      <c r="H38" s="2">
        <v>0</v>
      </c>
    </row>
    <row r="39" spans="1:8">
      <c r="A39" s="2" t="s">
        <v>45</v>
      </c>
      <c r="B39" s="2" t="s">
        <v>26</v>
      </c>
      <c r="C39" s="2" t="s">
        <v>10</v>
      </c>
      <c r="D39" s="2" t="s">
        <v>11</v>
      </c>
      <c r="E39" s="2" t="s">
        <v>17</v>
      </c>
      <c r="F39" s="2" t="s">
        <v>17</v>
      </c>
      <c r="G39" s="2" t="s">
        <v>18</v>
      </c>
      <c r="H39" s="2">
        <v>0</v>
      </c>
    </row>
    <row r="40" spans="1:8">
      <c r="A40" s="2" t="s">
        <v>45</v>
      </c>
      <c r="B40" s="2" t="s">
        <v>26</v>
      </c>
      <c r="C40" s="2" t="s">
        <v>10</v>
      </c>
      <c r="D40" s="2" t="s">
        <v>11</v>
      </c>
      <c r="E40" s="2" t="s">
        <v>32</v>
      </c>
      <c r="F40" s="2" t="s">
        <v>33</v>
      </c>
      <c r="G40" s="2" t="s">
        <v>13</v>
      </c>
      <c r="H40" s="2">
        <v>0</v>
      </c>
    </row>
    <row r="41" spans="1:8">
      <c r="A41" s="2" t="s">
        <v>46</v>
      </c>
      <c r="B41" s="2" t="s">
        <v>26</v>
      </c>
      <c r="C41" s="2" t="s">
        <v>10</v>
      </c>
      <c r="D41" s="2" t="s">
        <v>11</v>
      </c>
      <c r="E41" s="2" t="s">
        <v>27</v>
      </c>
      <c r="F41" s="2" t="s">
        <v>28</v>
      </c>
      <c r="G41" s="2" t="s">
        <v>13</v>
      </c>
      <c r="H41" s="2">
        <v>0</v>
      </c>
    </row>
    <row r="42" spans="1:8">
      <c r="A42" s="2" t="s">
        <v>47</v>
      </c>
      <c r="B42" s="2" t="s">
        <v>26</v>
      </c>
      <c r="C42" s="2" t="s">
        <v>10</v>
      </c>
      <c r="D42" s="2" t="s">
        <v>11</v>
      </c>
      <c r="E42" s="2" t="s">
        <v>27</v>
      </c>
      <c r="F42" s="2" t="s">
        <v>28</v>
      </c>
      <c r="G42" s="2" t="s">
        <v>24</v>
      </c>
      <c r="H42" s="2">
        <v>0</v>
      </c>
    </row>
    <row r="43" spans="1:8">
      <c r="A43" s="2" t="s">
        <v>47</v>
      </c>
      <c r="B43" s="2" t="s">
        <v>26</v>
      </c>
      <c r="C43" s="2" t="s">
        <v>10</v>
      </c>
      <c r="D43" s="2" t="s">
        <v>11</v>
      </c>
      <c r="E43" s="2" t="s">
        <v>15</v>
      </c>
      <c r="F43" s="2" t="s">
        <v>15</v>
      </c>
      <c r="G43" s="2" t="s">
        <v>24</v>
      </c>
      <c r="H43" s="2">
        <v>0</v>
      </c>
    </row>
    <row r="44" spans="1:8">
      <c r="A44" s="2" t="s">
        <v>47</v>
      </c>
      <c r="B44" s="2" t="s">
        <v>26</v>
      </c>
      <c r="C44" s="2" t="s">
        <v>10</v>
      </c>
      <c r="D44" s="2" t="s">
        <v>11</v>
      </c>
      <c r="E44" s="2" t="s">
        <v>17</v>
      </c>
      <c r="F44" s="2" t="s">
        <v>17</v>
      </c>
      <c r="G44" s="2" t="s">
        <v>24</v>
      </c>
      <c r="H44" s="2">
        <v>0</v>
      </c>
    </row>
    <row r="45" spans="1:8">
      <c r="A45" s="2" t="s">
        <v>47</v>
      </c>
      <c r="B45" s="2" t="s">
        <v>26</v>
      </c>
      <c r="C45" s="2" t="s">
        <v>10</v>
      </c>
      <c r="D45" s="2" t="s">
        <v>11</v>
      </c>
      <c r="E45" s="2" t="s">
        <v>12</v>
      </c>
      <c r="F45" s="2" t="s">
        <v>12</v>
      </c>
      <c r="G45" s="2" t="s">
        <v>24</v>
      </c>
      <c r="H45" s="2">
        <v>0</v>
      </c>
    </row>
    <row r="46" spans="1:8">
      <c r="A46" s="2" t="s">
        <v>47</v>
      </c>
      <c r="B46" s="2" t="s">
        <v>26</v>
      </c>
      <c r="C46" s="2" t="s">
        <v>10</v>
      </c>
      <c r="D46" s="2" t="s">
        <v>11</v>
      </c>
      <c r="E46" s="2" t="s">
        <v>32</v>
      </c>
      <c r="F46" s="2" t="s">
        <v>33</v>
      </c>
      <c r="G46" s="2" t="s">
        <v>24</v>
      </c>
      <c r="H46" s="2">
        <v>0</v>
      </c>
    </row>
    <row r="47" spans="1:8">
      <c r="A47" s="2" t="s">
        <v>48</v>
      </c>
      <c r="B47" s="2" t="s">
        <v>26</v>
      </c>
      <c r="C47" s="2" t="s">
        <v>10</v>
      </c>
      <c r="D47" s="2" t="s">
        <v>11</v>
      </c>
      <c r="E47" s="2" t="s">
        <v>27</v>
      </c>
      <c r="F47" s="2" t="s">
        <v>28</v>
      </c>
      <c r="G47" s="2" t="s">
        <v>49</v>
      </c>
      <c r="H47" s="2">
        <v>5.88</v>
      </c>
    </row>
    <row r="48" spans="1:8">
      <c r="A48" s="2" t="s">
        <v>48</v>
      </c>
      <c r="B48" s="2" t="s">
        <v>26</v>
      </c>
      <c r="C48" s="2" t="s">
        <v>10</v>
      </c>
      <c r="D48" s="2" t="s">
        <v>11</v>
      </c>
      <c r="E48" s="2" t="s">
        <v>30</v>
      </c>
      <c r="F48" s="2" t="s">
        <v>31</v>
      </c>
      <c r="G48" s="2" t="s">
        <v>18</v>
      </c>
      <c r="H48" s="2">
        <v>5.88</v>
      </c>
    </row>
    <row r="49" spans="1:8">
      <c r="A49" s="2" t="s">
        <v>50</v>
      </c>
      <c r="B49" s="2" t="s">
        <v>26</v>
      </c>
      <c r="C49" s="2" t="s">
        <v>10</v>
      </c>
      <c r="D49" s="2" t="s">
        <v>11</v>
      </c>
      <c r="E49" s="2" t="s">
        <v>27</v>
      </c>
      <c r="F49" s="2" t="s">
        <v>28</v>
      </c>
      <c r="G49" s="2" t="s">
        <v>18</v>
      </c>
      <c r="H49" s="2">
        <v>5.5</v>
      </c>
    </row>
    <row r="50" spans="1:8">
      <c r="A50" s="2" t="s">
        <v>50</v>
      </c>
      <c r="B50" s="2" t="s">
        <v>26</v>
      </c>
      <c r="C50" s="2" t="s">
        <v>10</v>
      </c>
      <c r="D50" s="2" t="s">
        <v>11</v>
      </c>
      <c r="E50" s="2" t="s">
        <v>30</v>
      </c>
      <c r="F50" s="2" t="s">
        <v>31</v>
      </c>
      <c r="G50" s="2" t="s">
        <v>18</v>
      </c>
      <c r="H50" s="2">
        <v>5.5</v>
      </c>
    </row>
    <row r="51" spans="1:8">
      <c r="A51" s="2" t="s">
        <v>51</v>
      </c>
      <c r="B51" s="2" t="s">
        <v>26</v>
      </c>
      <c r="C51" s="2" t="s">
        <v>10</v>
      </c>
      <c r="D51" s="2" t="s">
        <v>11</v>
      </c>
      <c r="E51" s="2" t="s">
        <v>30</v>
      </c>
      <c r="F51" s="2" t="s">
        <v>31</v>
      </c>
      <c r="G51" s="2" t="s">
        <v>13</v>
      </c>
      <c r="H51" s="2">
        <v>0</v>
      </c>
    </row>
    <row r="52" spans="1:8">
      <c r="A52" s="2" t="s">
        <v>52</v>
      </c>
      <c r="B52" s="2" t="s">
        <v>26</v>
      </c>
      <c r="C52" s="2" t="s">
        <v>10</v>
      </c>
      <c r="D52" s="2" t="s">
        <v>11</v>
      </c>
      <c r="E52" s="2" t="s">
        <v>27</v>
      </c>
      <c r="F52" s="2" t="s">
        <v>28</v>
      </c>
      <c r="G52" s="2" t="s">
        <v>13</v>
      </c>
      <c r="H52" s="2">
        <v>0</v>
      </c>
    </row>
    <row r="53" spans="1:8">
      <c r="A53" s="2" t="s">
        <v>52</v>
      </c>
      <c r="B53" s="2" t="s">
        <v>26</v>
      </c>
      <c r="C53" s="2" t="s">
        <v>10</v>
      </c>
      <c r="D53" s="2" t="s">
        <v>11</v>
      </c>
      <c r="E53" s="2" t="s">
        <v>30</v>
      </c>
      <c r="F53" s="2" t="s">
        <v>31</v>
      </c>
      <c r="G53" s="2" t="s">
        <v>13</v>
      </c>
      <c r="H53" s="2">
        <v>0</v>
      </c>
    </row>
    <row r="54" spans="1:8">
      <c r="A54" s="2" t="s">
        <v>53</v>
      </c>
      <c r="B54" s="2" t="s">
        <v>26</v>
      </c>
      <c r="C54" s="2" t="s">
        <v>10</v>
      </c>
      <c r="D54" s="2" t="s">
        <v>11</v>
      </c>
      <c r="E54" s="2" t="s">
        <v>27</v>
      </c>
      <c r="F54" s="2" t="s">
        <v>28</v>
      </c>
      <c r="G54" s="2" t="s">
        <v>13</v>
      </c>
      <c r="H54" s="2">
        <v>0</v>
      </c>
    </row>
    <row r="55" spans="1:8">
      <c r="A55" s="2" t="s">
        <v>54</v>
      </c>
      <c r="B55" s="2" t="s">
        <v>26</v>
      </c>
      <c r="C55" s="2" t="s">
        <v>10</v>
      </c>
      <c r="D55" s="2" t="s">
        <v>11</v>
      </c>
      <c r="E55" s="2" t="s">
        <v>30</v>
      </c>
      <c r="F55" s="2" t="s">
        <v>31</v>
      </c>
      <c r="G55" s="2" t="s">
        <v>18</v>
      </c>
      <c r="H55" s="2">
        <v>5.5</v>
      </c>
    </row>
    <row r="56" spans="1:8">
      <c r="A56" s="2" t="s">
        <v>55</v>
      </c>
      <c r="B56" s="2" t="s">
        <v>26</v>
      </c>
      <c r="C56" s="2" t="s">
        <v>10</v>
      </c>
      <c r="D56" s="2" t="s">
        <v>11</v>
      </c>
      <c r="E56" s="2" t="s">
        <v>27</v>
      </c>
      <c r="F56" s="2" t="s">
        <v>28</v>
      </c>
      <c r="G56" s="2" t="s">
        <v>13</v>
      </c>
      <c r="H56" s="2">
        <v>0</v>
      </c>
    </row>
    <row r="57" spans="1:8">
      <c r="A57" s="2" t="s">
        <v>55</v>
      </c>
      <c r="B57" s="2" t="s">
        <v>26</v>
      </c>
      <c r="C57" s="2" t="s">
        <v>10</v>
      </c>
      <c r="D57" s="2" t="s">
        <v>11</v>
      </c>
      <c r="E57" s="2" t="s">
        <v>17</v>
      </c>
      <c r="F57" s="2" t="s">
        <v>17</v>
      </c>
      <c r="G57" s="2" t="s">
        <v>49</v>
      </c>
      <c r="H57" s="2">
        <v>0</v>
      </c>
    </row>
    <row r="58" spans="1:8">
      <c r="A58" s="2" t="s">
        <v>55</v>
      </c>
      <c r="B58" s="2" t="s">
        <v>26</v>
      </c>
      <c r="C58" s="2" t="s">
        <v>10</v>
      </c>
      <c r="D58" s="2" t="s">
        <v>11</v>
      </c>
      <c r="E58" s="2" t="s">
        <v>30</v>
      </c>
      <c r="F58" s="2" t="s">
        <v>31</v>
      </c>
      <c r="G58" s="2" t="s">
        <v>13</v>
      </c>
      <c r="H58" s="2">
        <v>0</v>
      </c>
    </row>
    <row r="59" spans="1:8">
      <c r="A59" s="2" t="s">
        <v>55</v>
      </c>
      <c r="B59" s="2" t="s">
        <v>26</v>
      </c>
      <c r="C59" s="2" t="s">
        <v>10</v>
      </c>
      <c r="D59" s="2" t="s">
        <v>11</v>
      </c>
      <c r="E59" s="2" t="s">
        <v>32</v>
      </c>
      <c r="F59" s="2" t="s">
        <v>33</v>
      </c>
      <c r="G59" s="2" t="s">
        <v>13</v>
      </c>
      <c r="H59" s="2">
        <v>0</v>
      </c>
    </row>
    <row r="60" spans="1:8">
      <c r="A60" s="2" t="s">
        <v>56</v>
      </c>
      <c r="B60" s="2" t="s">
        <v>26</v>
      </c>
      <c r="C60" s="2" t="s">
        <v>10</v>
      </c>
      <c r="D60" s="2" t="s">
        <v>11</v>
      </c>
      <c r="E60" s="2" t="s">
        <v>27</v>
      </c>
      <c r="F60" s="2" t="s">
        <v>28</v>
      </c>
      <c r="G60" s="2" t="s">
        <v>13</v>
      </c>
      <c r="H60" s="2">
        <v>0</v>
      </c>
    </row>
    <row r="61" spans="1:8">
      <c r="A61" s="2" t="s">
        <v>56</v>
      </c>
      <c r="B61" s="2" t="s">
        <v>26</v>
      </c>
      <c r="C61" s="2" t="s">
        <v>10</v>
      </c>
      <c r="D61" s="2" t="s">
        <v>11</v>
      </c>
      <c r="E61" s="2" t="s">
        <v>15</v>
      </c>
      <c r="F61" s="2" t="s">
        <v>15</v>
      </c>
      <c r="G61" s="2" t="s">
        <v>24</v>
      </c>
      <c r="H61" s="2">
        <v>0</v>
      </c>
    </row>
    <row r="62" spans="1:8">
      <c r="A62" s="2" t="s">
        <v>57</v>
      </c>
      <c r="B62" s="2" t="s">
        <v>26</v>
      </c>
      <c r="C62" s="2" t="s">
        <v>10</v>
      </c>
      <c r="D62" s="2" t="s">
        <v>11</v>
      </c>
      <c r="E62" s="2" t="s">
        <v>27</v>
      </c>
      <c r="F62" s="2" t="s">
        <v>28</v>
      </c>
      <c r="G62" s="2" t="s">
        <v>24</v>
      </c>
      <c r="H62" s="2">
        <v>0</v>
      </c>
    </row>
    <row r="63" spans="1:8">
      <c r="A63" s="2" t="s">
        <v>57</v>
      </c>
      <c r="B63" s="2" t="s">
        <v>26</v>
      </c>
      <c r="C63" s="2" t="s">
        <v>10</v>
      </c>
      <c r="D63" s="2" t="s">
        <v>11</v>
      </c>
      <c r="E63" s="2" t="s">
        <v>15</v>
      </c>
      <c r="F63" s="2" t="s">
        <v>15</v>
      </c>
      <c r="G63" s="2" t="s">
        <v>13</v>
      </c>
      <c r="H63" s="2">
        <v>0</v>
      </c>
    </row>
    <row r="64" spans="1:8">
      <c r="A64" s="2" t="s">
        <v>57</v>
      </c>
      <c r="B64" s="2" t="s">
        <v>26</v>
      </c>
      <c r="C64" s="2" t="s">
        <v>10</v>
      </c>
      <c r="D64" s="2" t="s">
        <v>11</v>
      </c>
      <c r="E64" s="2" t="s">
        <v>17</v>
      </c>
      <c r="F64" s="2" t="s">
        <v>17</v>
      </c>
      <c r="G64" s="2" t="s">
        <v>49</v>
      </c>
      <c r="H64" s="2">
        <v>0</v>
      </c>
    </row>
    <row r="65" spans="1:8">
      <c r="A65" s="2" t="s">
        <v>57</v>
      </c>
      <c r="B65" s="2" t="s">
        <v>26</v>
      </c>
      <c r="C65" s="2" t="s">
        <v>10</v>
      </c>
      <c r="D65" s="2" t="s">
        <v>11</v>
      </c>
      <c r="E65" s="2" t="s">
        <v>12</v>
      </c>
      <c r="F65" s="2" t="s">
        <v>12</v>
      </c>
      <c r="G65" s="2" t="s">
        <v>24</v>
      </c>
      <c r="H65" s="2">
        <v>0</v>
      </c>
    </row>
    <row r="66" spans="1:8">
      <c r="A66" s="2" t="s">
        <v>58</v>
      </c>
      <c r="B66" s="2" t="s">
        <v>26</v>
      </c>
      <c r="C66" s="2" t="s">
        <v>10</v>
      </c>
      <c r="D66" s="2" t="s">
        <v>11</v>
      </c>
      <c r="E66" s="2" t="s">
        <v>27</v>
      </c>
      <c r="F66" s="2" t="s">
        <v>28</v>
      </c>
      <c r="G66" s="2" t="s">
        <v>59</v>
      </c>
      <c r="H66" s="2">
        <v>0</v>
      </c>
    </row>
    <row r="67" spans="1:8">
      <c r="A67" s="2" t="s">
        <v>58</v>
      </c>
      <c r="B67" s="2" t="s">
        <v>26</v>
      </c>
      <c r="C67" s="2" t="s">
        <v>10</v>
      </c>
      <c r="D67" s="2" t="s">
        <v>11</v>
      </c>
      <c r="E67" s="2" t="s">
        <v>15</v>
      </c>
      <c r="F67" s="2" t="s">
        <v>15</v>
      </c>
      <c r="G67" s="2" t="s">
        <v>24</v>
      </c>
      <c r="H67" s="2">
        <v>0</v>
      </c>
    </row>
    <row r="68" spans="1:8">
      <c r="A68" s="2" t="s">
        <v>60</v>
      </c>
      <c r="B68" s="2" t="s">
        <v>26</v>
      </c>
      <c r="C68" s="2" t="s">
        <v>10</v>
      </c>
      <c r="D68" s="2" t="s">
        <v>11</v>
      </c>
      <c r="E68" s="2" t="s">
        <v>30</v>
      </c>
      <c r="F68" s="2" t="s">
        <v>31</v>
      </c>
      <c r="G68" s="2" t="s">
        <v>13</v>
      </c>
      <c r="H68" s="2">
        <v>0</v>
      </c>
    </row>
    <row r="69" spans="1:8">
      <c r="A69" s="2" t="s">
        <v>61</v>
      </c>
      <c r="B69" s="2" t="s">
        <v>26</v>
      </c>
      <c r="C69" s="2" t="s">
        <v>10</v>
      </c>
      <c r="D69" s="2" t="s">
        <v>11</v>
      </c>
      <c r="E69" s="2" t="s">
        <v>27</v>
      </c>
      <c r="F69" s="2" t="s">
        <v>28</v>
      </c>
      <c r="G69" s="2" t="s">
        <v>62</v>
      </c>
      <c r="H69" s="2">
        <v>0</v>
      </c>
    </row>
    <row r="70" spans="1:8">
      <c r="A70" s="2" t="s">
        <v>61</v>
      </c>
      <c r="B70" s="2" t="s">
        <v>26</v>
      </c>
      <c r="C70" s="2" t="s">
        <v>10</v>
      </c>
      <c r="D70" s="2" t="s">
        <v>11</v>
      </c>
      <c r="E70" s="2" t="s">
        <v>15</v>
      </c>
      <c r="F70" s="2" t="s">
        <v>15</v>
      </c>
      <c r="G70" s="2" t="s">
        <v>62</v>
      </c>
      <c r="H70" s="2">
        <v>0</v>
      </c>
    </row>
    <row r="71" spans="1:8">
      <c r="A71" s="2" t="s">
        <v>61</v>
      </c>
      <c r="B71" s="2" t="s">
        <v>26</v>
      </c>
      <c r="C71" s="2" t="s">
        <v>10</v>
      </c>
      <c r="D71" s="2" t="s">
        <v>11</v>
      </c>
      <c r="E71" s="2" t="s">
        <v>17</v>
      </c>
      <c r="F71" s="2" t="s">
        <v>17</v>
      </c>
      <c r="G71" s="2" t="s">
        <v>62</v>
      </c>
      <c r="H71" s="2">
        <v>0</v>
      </c>
    </row>
    <row r="72" spans="1:8">
      <c r="A72" s="2" t="s">
        <v>61</v>
      </c>
      <c r="B72" s="2" t="s">
        <v>26</v>
      </c>
      <c r="C72" s="2" t="s">
        <v>10</v>
      </c>
      <c r="D72" s="2" t="s">
        <v>11</v>
      </c>
      <c r="E72" s="2" t="s">
        <v>12</v>
      </c>
      <c r="F72" s="2" t="s">
        <v>12</v>
      </c>
      <c r="G72" s="2" t="s">
        <v>62</v>
      </c>
      <c r="H72" s="2">
        <v>0</v>
      </c>
    </row>
    <row r="73" spans="1:8">
      <c r="A73" s="2" t="s">
        <v>61</v>
      </c>
      <c r="B73" s="2" t="s">
        <v>26</v>
      </c>
      <c r="C73" s="2" t="s">
        <v>10</v>
      </c>
      <c r="D73" s="2" t="s">
        <v>11</v>
      </c>
      <c r="E73" s="2" t="s">
        <v>32</v>
      </c>
      <c r="F73" s="2" t="s">
        <v>33</v>
      </c>
      <c r="G73" s="2" t="s">
        <v>62</v>
      </c>
      <c r="H73" s="2">
        <v>0</v>
      </c>
    </row>
    <row r="74" spans="1:8">
      <c r="A74" s="2" t="s">
        <v>63</v>
      </c>
      <c r="B74" s="2" t="s">
        <v>26</v>
      </c>
      <c r="C74" s="2" t="s">
        <v>10</v>
      </c>
      <c r="D74" s="2" t="s">
        <v>11</v>
      </c>
      <c r="E74" s="2" t="s">
        <v>27</v>
      </c>
      <c r="F74" s="2" t="s">
        <v>28</v>
      </c>
      <c r="G74" s="2" t="s">
        <v>13</v>
      </c>
      <c r="H74" s="2">
        <v>0</v>
      </c>
    </row>
    <row r="75" spans="1:8">
      <c r="A75" s="2" t="s">
        <v>63</v>
      </c>
      <c r="B75" s="2" t="s">
        <v>26</v>
      </c>
      <c r="C75" s="2" t="s">
        <v>10</v>
      </c>
      <c r="D75" s="2" t="s">
        <v>11</v>
      </c>
      <c r="E75" s="2" t="s">
        <v>32</v>
      </c>
      <c r="F75" s="2" t="s">
        <v>33</v>
      </c>
      <c r="G75" s="2" t="s">
        <v>13</v>
      </c>
      <c r="H75" s="2">
        <v>0</v>
      </c>
    </row>
    <row r="76" spans="1:8">
      <c r="A76" s="2" t="s">
        <v>64</v>
      </c>
      <c r="B76" s="2" t="s">
        <v>26</v>
      </c>
      <c r="C76" s="2" t="s">
        <v>10</v>
      </c>
      <c r="D76" s="2" t="s">
        <v>11</v>
      </c>
      <c r="E76" s="2" t="s">
        <v>27</v>
      </c>
      <c r="F76" s="2" t="s">
        <v>28</v>
      </c>
      <c r="G76" s="2" t="s">
        <v>59</v>
      </c>
      <c r="H76" s="2">
        <v>6.32</v>
      </c>
    </row>
    <row r="77" spans="1:8">
      <c r="A77" s="2" t="s">
        <v>64</v>
      </c>
      <c r="B77" s="2" t="s">
        <v>26</v>
      </c>
      <c r="C77" s="2" t="s">
        <v>10</v>
      </c>
      <c r="D77" s="2" t="s">
        <v>11</v>
      </c>
      <c r="E77" s="2" t="s">
        <v>15</v>
      </c>
      <c r="F77" s="2" t="s">
        <v>15</v>
      </c>
      <c r="G77" s="2" t="s">
        <v>59</v>
      </c>
      <c r="H77" s="2">
        <v>6.32</v>
      </c>
    </row>
    <row r="78" spans="1:8">
      <c r="A78" s="2" t="s">
        <v>64</v>
      </c>
      <c r="B78" s="2" t="s">
        <v>26</v>
      </c>
      <c r="C78" s="2" t="s">
        <v>10</v>
      </c>
      <c r="D78" s="2" t="s">
        <v>11</v>
      </c>
      <c r="E78" s="2" t="s">
        <v>17</v>
      </c>
      <c r="F78" s="2" t="s">
        <v>17</v>
      </c>
      <c r="G78" s="2" t="s">
        <v>49</v>
      </c>
      <c r="H78" s="2">
        <v>6.32</v>
      </c>
    </row>
    <row r="79" spans="1:8">
      <c r="A79" s="2" t="s">
        <v>65</v>
      </c>
      <c r="B79" s="2" t="s">
        <v>26</v>
      </c>
      <c r="C79" s="2" t="s">
        <v>10</v>
      </c>
      <c r="D79" s="2" t="s">
        <v>11</v>
      </c>
      <c r="E79" s="2" t="s">
        <v>27</v>
      </c>
      <c r="F79" s="2" t="s">
        <v>28</v>
      </c>
      <c r="G79" s="2" t="s">
        <v>49</v>
      </c>
      <c r="H79" s="2">
        <v>6</v>
      </c>
    </row>
    <row r="80" spans="1:8">
      <c r="A80" s="2" t="s">
        <v>66</v>
      </c>
      <c r="B80" s="2" t="s">
        <v>26</v>
      </c>
      <c r="C80" s="2" t="s">
        <v>10</v>
      </c>
      <c r="D80" s="2" t="s">
        <v>11</v>
      </c>
      <c r="E80" s="2" t="s">
        <v>27</v>
      </c>
      <c r="F80" s="2" t="s">
        <v>28</v>
      </c>
      <c r="G80" s="2" t="s">
        <v>13</v>
      </c>
      <c r="H80" s="2">
        <v>0</v>
      </c>
    </row>
    <row r="81" spans="1:8">
      <c r="A81" s="2" t="s">
        <v>66</v>
      </c>
      <c r="B81" s="2" t="s">
        <v>26</v>
      </c>
      <c r="C81" s="2" t="s">
        <v>10</v>
      </c>
      <c r="D81" s="2" t="s">
        <v>11</v>
      </c>
      <c r="E81" s="2" t="s">
        <v>30</v>
      </c>
      <c r="F81" s="2" t="s">
        <v>31</v>
      </c>
      <c r="G81" s="2" t="s">
        <v>13</v>
      </c>
      <c r="H81" s="2">
        <v>0</v>
      </c>
    </row>
    <row r="82" spans="1:8">
      <c r="A82" s="2" t="s">
        <v>67</v>
      </c>
      <c r="B82" s="2" t="s">
        <v>26</v>
      </c>
      <c r="C82" s="2" t="s">
        <v>10</v>
      </c>
      <c r="D82" s="2" t="s">
        <v>11</v>
      </c>
      <c r="E82" s="2" t="s">
        <v>15</v>
      </c>
      <c r="F82" s="2" t="s">
        <v>15</v>
      </c>
      <c r="G82" s="2" t="s">
        <v>13</v>
      </c>
      <c r="H82" s="2">
        <v>0</v>
      </c>
    </row>
    <row r="83" spans="1:8">
      <c r="A83" s="2" t="s">
        <v>67</v>
      </c>
      <c r="B83" s="2" t="s">
        <v>26</v>
      </c>
      <c r="C83" s="2" t="s">
        <v>10</v>
      </c>
      <c r="D83" s="2" t="s">
        <v>11</v>
      </c>
      <c r="E83" s="2" t="s">
        <v>30</v>
      </c>
      <c r="F83" s="2" t="s">
        <v>31</v>
      </c>
      <c r="G83" s="2" t="s">
        <v>13</v>
      </c>
      <c r="H83" s="2">
        <v>0</v>
      </c>
    </row>
    <row r="84" spans="1:8">
      <c r="A84" s="2" t="s">
        <v>67</v>
      </c>
      <c r="B84" s="2" t="s">
        <v>26</v>
      </c>
      <c r="C84" s="2" t="s">
        <v>10</v>
      </c>
      <c r="D84" s="2" t="s">
        <v>11</v>
      </c>
      <c r="E84" s="2" t="s">
        <v>32</v>
      </c>
      <c r="F84" s="2" t="s">
        <v>33</v>
      </c>
      <c r="G84" s="2" t="s">
        <v>13</v>
      </c>
      <c r="H84" s="2">
        <v>0</v>
      </c>
    </row>
    <row r="85" spans="1:8">
      <c r="A85" s="2" t="s">
        <v>68</v>
      </c>
      <c r="B85" s="2" t="s">
        <v>26</v>
      </c>
      <c r="C85" s="2" t="s">
        <v>10</v>
      </c>
      <c r="D85" s="2" t="s">
        <v>11</v>
      </c>
      <c r="E85" s="2" t="s">
        <v>27</v>
      </c>
      <c r="F85" s="2" t="s">
        <v>28</v>
      </c>
      <c r="G85" s="2" t="s">
        <v>13</v>
      </c>
      <c r="H85" s="2">
        <v>0</v>
      </c>
    </row>
    <row r="86" spans="1:8">
      <c r="A86" s="2" t="s">
        <v>68</v>
      </c>
      <c r="B86" s="2" t="s">
        <v>26</v>
      </c>
      <c r="C86" s="2" t="s">
        <v>10</v>
      </c>
      <c r="D86" s="2" t="s">
        <v>11</v>
      </c>
      <c r="E86" s="2" t="s">
        <v>15</v>
      </c>
      <c r="F86" s="2" t="s">
        <v>15</v>
      </c>
      <c r="G86" s="2" t="s">
        <v>18</v>
      </c>
      <c r="H86" s="2">
        <v>0</v>
      </c>
    </row>
    <row r="87" spans="1:8">
      <c r="A87" s="2" t="s">
        <v>69</v>
      </c>
      <c r="B87" s="2" t="s">
        <v>26</v>
      </c>
      <c r="C87" s="2" t="s">
        <v>10</v>
      </c>
      <c r="D87" s="2" t="s">
        <v>11</v>
      </c>
      <c r="E87" s="2" t="s">
        <v>27</v>
      </c>
      <c r="F87" s="2" t="s">
        <v>28</v>
      </c>
      <c r="G87" s="2" t="s">
        <v>18</v>
      </c>
      <c r="H87" s="2">
        <v>6.06</v>
      </c>
    </row>
    <row r="88" spans="1:8">
      <c r="A88" s="2" t="s">
        <v>69</v>
      </c>
      <c r="B88" s="2" t="s">
        <v>26</v>
      </c>
      <c r="C88" s="2" t="s">
        <v>10</v>
      </c>
      <c r="D88" s="2" t="s">
        <v>11</v>
      </c>
      <c r="E88" s="2" t="s">
        <v>15</v>
      </c>
      <c r="F88" s="2" t="s">
        <v>15</v>
      </c>
      <c r="G88" s="2" t="s">
        <v>59</v>
      </c>
      <c r="H88" s="2">
        <v>6.06</v>
      </c>
    </row>
    <row r="89" spans="1:8">
      <c r="A89" s="2" t="s">
        <v>69</v>
      </c>
      <c r="B89" s="2" t="s">
        <v>26</v>
      </c>
      <c r="C89" s="2" t="s">
        <v>10</v>
      </c>
      <c r="D89" s="2" t="s">
        <v>11</v>
      </c>
      <c r="E89" s="2" t="s">
        <v>30</v>
      </c>
      <c r="F89" s="2" t="s">
        <v>31</v>
      </c>
      <c r="G89" s="2" t="s">
        <v>49</v>
      </c>
      <c r="H89" s="2">
        <v>6.06</v>
      </c>
    </row>
    <row r="90" spans="1:8">
      <c r="A90" s="2" t="s">
        <v>70</v>
      </c>
      <c r="B90" s="2" t="s">
        <v>26</v>
      </c>
      <c r="C90" s="2" t="s">
        <v>10</v>
      </c>
      <c r="D90" s="2" t="s">
        <v>11</v>
      </c>
      <c r="E90" s="2" t="s">
        <v>30</v>
      </c>
      <c r="F90" s="2" t="s">
        <v>31</v>
      </c>
      <c r="G90" s="2" t="s">
        <v>18</v>
      </c>
      <c r="H90" s="2">
        <v>5.5</v>
      </c>
    </row>
    <row r="91" spans="1:8">
      <c r="A91" s="2" t="s">
        <v>71</v>
      </c>
      <c r="B91" s="2" t="s">
        <v>26</v>
      </c>
      <c r="C91" s="2" t="s">
        <v>10</v>
      </c>
      <c r="D91" s="2" t="s">
        <v>11</v>
      </c>
      <c r="E91" s="2" t="s">
        <v>27</v>
      </c>
      <c r="F91" s="2" t="s">
        <v>28</v>
      </c>
      <c r="G91" s="2" t="s">
        <v>13</v>
      </c>
      <c r="H91" s="2">
        <v>0</v>
      </c>
    </row>
    <row r="92" spans="1:8">
      <c r="A92" s="2" t="s">
        <v>71</v>
      </c>
      <c r="B92" s="2" t="s">
        <v>26</v>
      </c>
      <c r="C92" s="2" t="s">
        <v>10</v>
      </c>
      <c r="D92" s="2" t="s">
        <v>11</v>
      </c>
      <c r="E92" s="2" t="s">
        <v>15</v>
      </c>
      <c r="F92" s="2" t="s">
        <v>15</v>
      </c>
      <c r="G92" s="2" t="s">
        <v>13</v>
      </c>
      <c r="H92" s="2">
        <v>0</v>
      </c>
    </row>
    <row r="93" spans="1:8">
      <c r="A93" s="2" t="s">
        <v>71</v>
      </c>
      <c r="B93" s="2" t="s">
        <v>26</v>
      </c>
      <c r="C93" s="2" t="s">
        <v>10</v>
      </c>
      <c r="D93" s="2" t="s">
        <v>11</v>
      </c>
      <c r="E93" s="2" t="s">
        <v>30</v>
      </c>
      <c r="F93" s="2" t="s">
        <v>31</v>
      </c>
      <c r="G93" s="2" t="s">
        <v>49</v>
      </c>
      <c r="H93" s="2">
        <v>0</v>
      </c>
    </row>
    <row r="94" spans="1:8">
      <c r="A94" s="2" t="s">
        <v>72</v>
      </c>
      <c r="B94" s="2" t="s">
        <v>26</v>
      </c>
      <c r="C94" s="2" t="s">
        <v>10</v>
      </c>
      <c r="D94" s="2" t="s">
        <v>11</v>
      </c>
      <c r="E94" s="2" t="s">
        <v>27</v>
      </c>
      <c r="F94" s="2" t="s">
        <v>28</v>
      </c>
      <c r="G94" s="2" t="s">
        <v>13</v>
      </c>
      <c r="H94" s="2">
        <v>0</v>
      </c>
    </row>
    <row r="95" spans="1:8">
      <c r="A95" s="2" t="s">
        <v>72</v>
      </c>
      <c r="B95" s="2" t="s">
        <v>26</v>
      </c>
      <c r="C95" s="2" t="s">
        <v>10</v>
      </c>
      <c r="D95" s="2" t="s">
        <v>11</v>
      </c>
      <c r="E95" s="2" t="s">
        <v>32</v>
      </c>
      <c r="F95" s="2" t="s">
        <v>33</v>
      </c>
      <c r="G95" s="2" t="s">
        <v>13</v>
      </c>
      <c r="H95" s="2">
        <v>0</v>
      </c>
    </row>
    <row r="96" spans="1:8">
      <c r="A96" s="2" t="s">
        <v>73</v>
      </c>
      <c r="B96" s="2" t="s">
        <v>26</v>
      </c>
      <c r="C96" s="2" t="s">
        <v>10</v>
      </c>
      <c r="D96" s="2" t="s">
        <v>11</v>
      </c>
      <c r="E96" s="2" t="s">
        <v>27</v>
      </c>
      <c r="F96" s="2" t="s">
        <v>28</v>
      </c>
      <c r="G96" s="2" t="s">
        <v>13</v>
      </c>
      <c r="H96" s="2">
        <v>0</v>
      </c>
    </row>
    <row r="97" spans="1:8">
      <c r="A97" s="2" t="s">
        <v>73</v>
      </c>
      <c r="B97" s="2" t="s">
        <v>26</v>
      </c>
      <c r="C97" s="2" t="s">
        <v>10</v>
      </c>
      <c r="D97" s="2" t="s">
        <v>11</v>
      </c>
      <c r="E97" s="2" t="s">
        <v>15</v>
      </c>
      <c r="F97" s="2" t="s">
        <v>15</v>
      </c>
      <c r="G97" s="2" t="s">
        <v>13</v>
      </c>
      <c r="H97" s="2">
        <v>0</v>
      </c>
    </row>
    <row r="98" spans="1:8">
      <c r="A98" s="2" t="s">
        <v>73</v>
      </c>
      <c r="B98" s="2" t="s">
        <v>26</v>
      </c>
      <c r="C98" s="2" t="s">
        <v>10</v>
      </c>
      <c r="D98" s="2" t="s">
        <v>11</v>
      </c>
      <c r="E98" s="2" t="s">
        <v>17</v>
      </c>
      <c r="F98" s="2" t="s">
        <v>17</v>
      </c>
      <c r="G98" s="2" t="s">
        <v>74</v>
      </c>
      <c r="H98" s="2">
        <v>0</v>
      </c>
    </row>
    <row r="99" spans="1:8">
      <c r="A99" s="2" t="s">
        <v>73</v>
      </c>
      <c r="B99" s="2" t="s">
        <v>26</v>
      </c>
      <c r="C99" s="2" t="s">
        <v>10</v>
      </c>
      <c r="D99" s="2" t="s">
        <v>11</v>
      </c>
      <c r="E99" s="2" t="s">
        <v>30</v>
      </c>
      <c r="F99" s="2" t="s">
        <v>31</v>
      </c>
      <c r="G99" s="2" t="s">
        <v>74</v>
      </c>
      <c r="H99" s="2">
        <v>0</v>
      </c>
    </row>
    <row r="100" spans="1:8">
      <c r="A100" s="2" t="s">
        <v>73</v>
      </c>
      <c r="B100" s="2" t="s">
        <v>26</v>
      </c>
      <c r="C100" s="2" t="s">
        <v>10</v>
      </c>
      <c r="D100" s="2" t="s">
        <v>11</v>
      </c>
      <c r="E100" s="2" t="s">
        <v>32</v>
      </c>
      <c r="F100" s="2" t="s">
        <v>33</v>
      </c>
      <c r="G100" s="2" t="s">
        <v>13</v>
      </c>
      <c r="H100" s="2">
        <v>0</v>
      </c>
    </row>
    <row r="101" spans="1:8">
      <c r="A101" s="2" t="s">
        <v>75</v>
      </c>
      <c r="B101" s="2" t="s">
        <v>26</v>
      </c>
      <c r="C101" s="2" t="s">
        <v>10</v>
      </c>
      <c r="D101" s="2" t="s">
        <v>11</v>
      </c>
      <c r="E101" s="2" t="s">
        <v>27</v>
      </c>
      <c r="F101" s="2" t="s">
        <v>28</v>
      </c>
      <c r="G101" s="2" t="s">
        <v>13</v>
      </c>
      <c r="H101" s="2">
        <v>0</v>
      </c>
    </row>
    <row r="102" spans="1:8">
      <c r="A102" s="2" t="s">
        <v>75</v>
      </c>
      <c r="B102" s="2" t="s">
        <v>26</v>
      </c>
      <c r="C102" s="2" t="s">
        <v>10</v>
      </c>
      <c r="D102" s="2" t="s">
        <v>11</v>
      </c>
      <c r="E102" s="2" t="s">
        <v>30</v>
      </c>
      <c r="F102" s="2" t="s">
        <v>31</v>
      </c>
      <c r="G102" s="2" t="s">
        <v>13</v>
      </c>
      <c r="H102" s="2">
        <v>0</v>
      </c>
    </row>
    <row r="103" spans="1:8">
      <c r="A103" s="2" t="s">
        <v>75</v>
      </c>
      <c r="B103" s="2" t="s">
        <v>26</v>
      </c>
      <c r="C103" s="2" t="s">
        <v>10</v>
      </c>
      <c r="D103" s="2" t="s">
        <v>11</v>
      </c>
      <c r="E103" s="2" t="s">
        <v>32</v>
      </c>
      <c r="F103" s="2" t="s">
        <v>33</v>
      </c>
      <c r="G103" s="2" t="s">
        <v>24</v>
      </c>
      <c r="H103" s="2">
        <v>0</v>
      </c>
    </row>
    <row r="104" spans="1:8">
      <c r="A104" s="2" t="s">
        <v>76</v>
      </c>
      <c r="B104" s="2" t="s">
        <v>26</v>
      </c>
      <c r="C104" s="2" t="s">
        <v>10</v>
      </c>
      <c r="D104" s="2" t="s">
        <v>11</v>
      </c>
      <c r="E104" s="2" t="s">
        <v>27</v>
      </c>
      <c r="F104" s="2" t="s">
        <v>28</v>
      </c>
      <c r="G104" s="2" t="s">
        <v>49</v>
      </c>
      <c r="H104" s="2">
        <v>0</v>
      </c>
    </row>
    <row r="105" spans="1:8">
      <c r="A105" s="2" t="s">
        <v>76</v>
      </c>
      <c r="B105" s="2" t="s">
        <v>26</v>
      </c>
      <c r="C105" s="2" t="s">
        <v>10</v>
      </c>
      <c r="D105" s="2" t="s">
        <v>11</v>
      </c>
      <c r="E105" s="2" t="s">
        <v>30</v>
      </c>
      <c r="F105" s="2" t="s">
        <v>31</v>
      </c>
      <c r="G105" s="2" t="s">
        <v>13</v>
      </c>
      <c r="H105" s="2">
        <v>0</v>
      </c>
    </row>
    <row r="106" spans="1:8">
      <c r="A106" s="2" t="s">
        <v>77</v>
      </c>
      <c r="B106" s="2" t="s">
        <v>26</v>
      </c>
      <c r="C106" s="2" t="s">
        <v>10</v>
      </c>
      <c r="D106" s="2" t="s">
        <v>11</v>
      </c>
      <c r="E106" s="2" t="s">
        <v>27</v>
      </c>
      <c r="F106" s="2" t="s">
        <v>28</v>
      </c>
      <c r="G106" s="2" t="s">
        <v>49</v>
      </c>
      <c r="H106" s="2">
        <v>0</v>
      </c>
    </row>
    <row r="107" spans="1:8">
      <c r="A107" s="2" t="s">
        <v>77</v>
      </c>
      <c r="B107" s="2" t="s">
        <v>26</v>
      </c>
      <c r="C107" s="2" t="s">
        <v>10</v>
      </c>
      <c r="D107" s="2" t="s">
        <v>11</v>
      </c>
      <c r="E107" s="2" t="s">
        <v>30</v>
      </c>
      <c r="F107" s="2" t="s">
        <v>31</v>
      </c>
      <c r="G107" s="2" t="s">
        <v>13</v>
      </c>
      <c r="H107" s="2">
        <v>0</v>
      </c>
    </row>
    <row r="108" spans="1:8">
      <c r="A108" s="2" t="s">
        <v>78</v>
      </c>
      <c r="B108" s="2" t="s">
        <v>26</v>
      </c>
      <c r="C108" s="2" t="s">
        <v>10</v>
      </c>
      <c r="D108" s="2" t="s">
        <v>11</v>
      </c>
      <c r="E108" s="2" t="s">
        <v>27</v>
      </c>
      <c r="F108" s="2" t="s">
        <v>28</v>
      </c>
      <c r="G108" s="2" t="s">
        <v>13</v>
      </c>
      <c r="H108" s="2">
        <v>0</v>
      </c>
    </row>
    <row r="109" spans="1:8">
      <c r="A109" s="2" t="s">
        <v>78</v>
      </c>
      <c r="B109" s="2" t="s">
        <v>26</v>
      </c>
      <c r="C109" s="2" t="s">
        <v>10</v>
      </c>
      <c r="D109" s="2" t="s">
        <v>11</v>
      </c>
      <c r="E109" s="2" t="s">
        <v>30</v>
      </c>
      <c r="F109" s="2" t="s">
        <v>31</v>
      </c>
      <c r="G109" s="2" t="s">
        <v>13</v>
      </c>
      <c r="H109" s="2">
        <v>0</v>
      </c>
    </row>
    <row r="110" spans="1:8">
      <c r="A110" s="2" t="s">
        <v>78</v>
      </c>
      <c r="B110" s="2" t="s">
        <v>26</v>
      </c>
      <c r="C110" s="2" t="s">
        <v>10</v>
      </c>
      <c r="D110" s="2" t="s">
        <v>11</v>
      </c>
      <c r="E110" s="2" t="s">
        <v>32</v>
      </c>
      <c r="F110" s="2" t="s">
        <v>33</v>
      </c>
      <c r="G110" s="2" t="s">
        <v>13</v>
      </c>
      <c r="H110" s="2">
        <v>0</v>
      </c>
    </row>
    <row r="111" spans="1:8">
      <c r="A111" s="2" t="s">
        <v>79</v>
      </c>
      <c r="B111" s="2" t="s">
        <v>26</v>
      </c>
      <c r="C111" s="2" t="s">
        <v>10</v>
      </c>
      <c r="D111" s="2" t="s">
        <v>11</v>
      </c>
      <c r="E111" s="2" t="s">
        <v>27</v>
      </c>
      <c r="F111" s="2" t="s">
        <v>28</v>
      </c>
      <c r="G111" s="2" t="s">
        <v>13</v>
      </c>
      <c r="H111" s="2">
        <v>0</v>
      </c>
    </row>
    <row r="112" spans="1:8">
      <c r="A112" s="2" t="s">
        <v>79</v>
      </c>
      <c r="B112" s="2" t="s">
        <v>26</v>
      </c>
      <c r="C112" s="2" t="s">
        <v>10</v>
      </c>
      <c r="D112" s="2" t="s">
        <v>11</v>
      </c>
      <c r="E112" s="2" t="s">
        <v>30</v>
      </c>
      <c r="F112" s="2" t="s">
        <v>31</v>
      </c>
      <c r="G112" s="2" t="s">
        <v>13</v>
      </c>
      <c r="H112" s="2">
        <v>0</v>
      </c>
    </row>
    <row r="113" spans="1:8">
      <c r="A113" s="2" t="s">
        <v>80</v>
      </c>
      <c r="B113" s="2" t="s">
        <v>26</v>
      </c>
      <c r="C113" s="2" t="s">
        <v>10</v>
      </c>
      <c r="D113" s="2" t="s">
        <v>11</v>
      </c>
      <c r="E113" s="2" t="s">
        <v>27</v>
      </c>
      <c r="F113" s="2" t="s">
        <v>28</v>
      </c>
      <c r="G113" s="2" t="s">
        <v>13</v>
      </c>
      <c r="H113" s="2">
        <v>0</v>
      </c>
    </row>
    <row r="114" spans="1:8">
      <c r="A114" s="2" t="s">
        <v>80</v>
      </c>
      <c r="B114" s="2" t="s">
        <v>26</v>
      </c>
      <c r="C114" s="2" t="s">
        <v>10</v>
      </c>
      <c r="D114" s="2" t="s">
        <v>11</v>
      </c>
      <c r="E114" s="2" t="s">
        <v>15</v>
      </c>
      <c r="F114" s="2" t="s">
        <v>15</v>
      </c>
      <c r="G114" s="2" t="s">
        <v>13</v>
      </c>
      <c r="H114" s="2">
        <v>0</v>
      </c>
    </row>
    <row r="115" spans="1:8">
      <c r="A115" s="2" t="s">
        <v>80</v>
      </c>
      <c r="B115" s="2" t="s">
        <v>26</v>
      </c>
      <c r="C115" s="2" t="s">
        <v>10</v>
      </c>
      <c r="D115" s="2" t="s">
        <v>11</v>
      </c>
      <c r="E115" s="2" t="s">
        <v>30</v>
      </c>
      <c r="F115" s="2" t="s">
        <v>31</v>
      </c>
      <c r="G115" s="2" t="s">
        <v>13</v>
      </c>
      <c r="H115" s="2">
        <v>0</v>
      </c>
    </row>
    <row r="116" spans="1:8">
      <c r="A116" s="2" t="s">
        <v>81</v>
      </c>
      <c r="B116" s="2" t="s">
        <v>26</v>
      </c>
      <c r="C116" s="2" t="s">
        <v>10</v>
      </c>
      <c r="D116" s="2" t="s">
        <v>11</v>
      </c>
      <c r="E116" s="2" t="s">
        <v>27</v>
      </c>
      <c r="F116" s="2" t="s">
        <v>28</v>
      </c>
      <c r="G116" s="2" t="s">
        <v>13</v>
      </c>
      <c r="H116" s="2">
        <v>0</v>
      </c>
    </row>
    <row r="117" spans="1:8">
      <c r="A117" s="2" t="s">
        <v>81</v>
      </c>
      <c r="B117" s="2" t="s">
        <v>26</v>
      </c>
      <c r="C117" s="2" t="s">
        <v>10</v>
      </c>
      <c r="D117" s="2" t="s">
        <v>11</v>
      </c>
      <c r="E117" s="2" t="s">
        <v>15</v>
      </c>
      <c r="F117" s="2" t="s">
        <v>15</v>
      </c>
      <c r="G117" s="2" t="s">
        <v>13</v>
      </c>
      <c r="H117" s="2">
        <v>0</v>
      </c>
    </row>
    <row r="118" spans="1:8">
      <c r="A118" s="2" t="s">
        <v>81</v>
      </c>
      <c r="B118" s="2" t="s">
        <v>26</v>
      </c>
      <c r="C118" s="2" t="s">
        <v>10</v>
      </c>
      <c r="D118" s="2" t="s">
        <v>11</v>
      </c>
      <c r="E118" s="2" t="s">
        <v>30</v>
      </c>
      <c r="F118" s="2" t="s">
        <v>31</v>
      </c>
      <c r="G118" s="2" t="s">
        <v>24</v>
      </c>
      <c r="H118" s="2">
        <v>0</v>
      </c>
    </row>
    <row r="119" spans="1:8">
      <c r="A119" s="2" t="s">
        <v>81</v>
      </c>
      <c r="B119" s="2" t="s">
        <v>26</v>
      </c>
      <c r="C119" s="2" t="s">
        <v>10</v>
      </c>
      <c r="D119" s="2" t="s">
        <v>11</v>
      </c>
      <c r="E119" s="2" t="s">
        <v>32</v>
      </c>
      <c r="F119" s="2" t="s">
        <v>33</v>
      </c>
      <c r="G119" s="2" t="s">
        <v>13</v>
      </c>
      <c r="H119" s="2">
        <v>0</v>
      </c>
    </row>
    <row r="120" spans="1:8">
      <c r="A120" s="2" t="s">
        <v>82</v>
      </c>
      <c r="B120" s="2" t="s">
        <v>26</v>
      </c>
      <c r="C120" s="2" t="s">
        <v>10</v>
      </c>
      <c r="D120" s="2" t="s">
        <v>11</v>
      </c>
      <c r="E120" s="2" t="s">
        <v>27</v>
      </c>
      <c r="F120" s="2" t="s">
        <v>28</v>
      </c>
      <c r="G120" s="2" t="s">
        <v>13</v>
      </c>
      <c r="H120" s="2">
        <v>0</v>
      </c>
    </row>
    <row r="121" spans="1:8">
      <c r="A121" s="2" t="s">
        <v>82</v>
      </c>
      <c r="B121" s="2" t="s">
        <v>26</v>
      </c>
      <c r="C121" s="2" t="s">
        <v>10</v>
      </c>
      <c r="D121" s="2" t="s">
        <v>11</v>
      </c>
      <c r="E121" s="2" t="s">
        <v>15</v>
      </c>
      <c r="F121" s="2" t="s">
        <v>15</v>
      </c>
      <c r="G121" s="2" t="s">
        <v>13</v>
      </c>
      <c r="H121" s="2">
        <v>0</v>
      </c>
    </row>
    <row r="122" spans="1:8">
      <c r="A122" s="2" t="s">
        <v>82</v>
      </c>
      <c r="B122" s="2" t="s">
        <v>26</v>
      </c>
      <c r="C122" s="2" t="s">
        <v>10</v>
      </c>
      <c r="D122" s="2" t="s">
        <v>11</v>
      </c>
      <c r="E122" s="2" t="s">
        <v>17</v>
      </c>
      <c r="F122" s="2" t="s">
        <v>17</v>
      </c>
      <c r="G122" s="2" t="s">
        <v>83</v>
      </c>
      <c r="H122" s="2">
        <v>0</v>
      </c>
    </row>
    <row r="123" spans="1:8">
      <c r="A123" s="2" t="s">
        <v>82</v>
      </c>
      <c r="B123" s="2" t="s">
        <v>26</v>
      </c>
      <c r="C123" s="2" t="s">
        <v>10</v>
      </c>
      <c r="D123" s="2" t="s">
        <v>11</v>
      </c>
      <c r="E123" s="2" t="s">
        <v>12</v>
      </c>
      <c r="F123" s="2" t="s">
        <v>12</v>
      </c>
      <c r="G123" s="2" t="s">
        <v>13</v>
      </c>
      <c r="H123" s="2">
        <v>0</v>
      </c>
    </row>
    <row r="124" spans="1:8">
      <c r="A124" s="2" t="s">
        <v>82</v>
      </c>
      <c r="B124" s="2" t="s">
        <v>26</v>
      </c>
      <c r="C124" s="2" t="s">
        <v>10</v>
      </c>
      <c r="D124" s="2" t="s">
        <v>11</v>
      </c>
      <c r="E124" s="2" t="s">
        <v>30</v>
      </c>
      <c r="F124" s="2" t="s">
        <v>31</v>
      </c>
      <c r="G124" s="2" t="s">
        <v>83</v>
      </c>
      <c r="H124" s="2">
        <v>0</v>
      </c>
    </row>
    <row r="125" spans="1:8">
      <c r="A125" s="2" t="s">
        <v>84</v>
      </c>
      <c r="B125" s="2" t="s">
        <v>26</v>
      </c>
      <c r="C125" s="2" t="s">
        <v>10</v>
      </c>
      <c r="D125" s="2" t="s">
        <v>11</v>
      </c>
      <c r="E125" s="2" t="s">
        <v>27</v>
      </c>
      <c r="F125" s="2" t="s">
        <v>28</v>
      </c>
      <c r="G125" s="2" t="s">
        <v>49</v>
      </c>
      <c r="H125" s="2">
        <v>6.25</v>
      </c>
    </row>
    <row r="126" spans="1:8">
      <c r="A126" s="2" t="s">
        <v>84</v>
      </c>
      <c r="B126" s="2" t="s">
        <v>26</v>
      </c>
      <c r="C126" s="2" t="s">
        <v>10</v>
      </c>
      <c r="D126" s="2" t="s">
        <v>11</v>
      </c>
      <c r="E126" s="2" t="s">
        <v>30</v>
      </c>
      <c r="F126" s="2" t="s">
        <v>31</v>
      </c>
      <c r="G126" s="2" t="s">
        <v>74</v>
      </c>
      <c r="H126" s="2">
        <v>6.25</v>
      </c>
    </row>
    <row r="127" spans="1:8">
      <c r="A127" s="2" t="s">
        <v>85</v>
      </c>
      <c r="B127" s="2" t="s">
        <v>11</v>
      </c>
      <c r="C127" s="2" t="s">
        <v>86</v>
      </c>
      <c r="D127" s="2" t="s">
        <v>11</v>
      </c>
      <c r="E127" s="2" t="s">
        <v>87</v>
      </c>
      <c r="F127" s="2" t="s">
        <v>88</v>
      </c>
      <c r="G127" s="2" t="s">
        <v>24</v>
      </c>
      <c r="H127" s="2">
        <v>0</v>
      </c>
    </row>
    <row r="128" spans="1:8">
      <c r="A128" s="2" t="s">
        <v>85</v>
      </c>
      <c r="B128" s="2" t="s">
        <v>11</v>
      </c>
      <c r="C128" s="2" t="s">
        <v>86</v>
      </c>
      <c r="D128" s="2" t="s">
        <v>11</v>
      </c>
      <c r="E128" s="2" t="s">
        <v>89</v>
      </c>
      <c r="F128" s="2" t="s">
        <v>90</v>
      </c>
      <c r="G128" s="2" t="s">
        <v>24</v>
      </c>
      <c r="H128" s="2">
        <v>0</v>
      </c>
    </row>
    <row r="129" spans="1:8">
      <c r="A129" s="2" t="s">
        <v>91</v>
      </c>
      <c r="B129" s="2" t="s">
        <v>92</v>
      </c>
      <c r="C129" s="2" t="s">
        <v>86</v>
      </c>
      <c r="D129" s="2" t="s">
        <v>11</v>
      </c>
      <c r="E129" s="2" t="s">
        <v>89</v>
      </c>
      <c r="F129" s="2" t="s">
        <v>90</v>
      </c>
      <c r="G129" s="2" t="s">
        <v>13</v>
      </c>
      <c r="H129" s="2">
        <v>0</v>
      </c>
    </row>
    <row r="130" spans="1:8">
      <c r="A130" s="2" t="s">
        <v>93</v>
      </c>
      <c r="B130" s="2" t="s">
        <v>26</v>
      </c>
      <c r="C130" s="2" t="s">
        <v>86</v>
      </c>
      <c r="D130" s="2" t="s">
        <v>11</v>
      </c>
      <c r="E130" s="2" t="s">
        <v>94</v>
      </c>
      <c r="F130" s="2" t="s">
        <v>95</v>
      </c>
      <c r="G130" s="2" t="s">
        <v>13</v>
      </c>
      <c r="H130" s="2">
        <v>0</v>
      </c>
    </row>
    <row r="131" spans="1:8">
      <c r="A131" s="2" t="s">
        <v>93</v>
      </c>
      <c r="B131" s="2" t="s">
        <v>26</v>
      </c>
      <c r="C131" s="2" t="s">
        <v>86</v>
      </c>
      <c r="D131" s="2" t="s">
        <v>11</v>
      </c>
      <c r="E131" s="2" t="s">
        <v>96</v>
      </c>
      <c r="F131" s="2" t="s">
        <v>97</v>
      </c>
      <c r="G131" s="2" t="s">
        <v>24</v>
      </c>
      <c r="H131" s="2">
        <v>0</v>
      </c>
    </row>
    <row r="132" spans="1:8">
      <c r="A132" s="2" t="s">
        <v>93</v>
      </c>
      <c r="B132" s="2" t="s">
        <v>26</v>
      </c>
      <c r="C132" s="2" t="s">
        <v>86</v>
      </c>
      <c r="D132" s="2" t="s">
        <v>11</v>
      </c>
      <c r="E132" s="2" t="s">
        <v>98</v>
      </c>
      <c r="F132" s="2" t="s">
        <v>99</v>
      </c>
      <c r="G132" s="2" t="s">
        <v>13</v>
      </c>
      <c r="H132" s="2">
        <v>0</v>
      </c>
    </row>
    <row r="133" spans="1:8">
      <c r="A133" s="2" t="s">
        <v>100</v>
      </c>
      <c r="B133" s="2" t="s">
        <v>26</v>
      </c>
      <c r="C133" s="2" t="s">
        <v>86</v>
      </c>
      <c r="D133" s="2" t="s">
        <v>11</v>
      </c>
      <c r="E133" s="2" t="s">
        <v>94</v>
      </c>
      <c r="F133" s="2" t="s">
        <v>95</v>
      </c>
      <c r="G133" s="2" t="s">
        <v>24</v>
      </c>
      <c r="H133" s="2">
        <v>0</v>
      </c>
    </row>
    <row r="134" spans="1:8">
      <c r="A134" s="2" t="s">
        <v>100</v>
      </c>
      <c r="B134" s="2" t="s">
        <v>26</v>
      </c>
      <c r="C134" s="2" t="s">
        <v>86</v>
      </c>
      <c r="D134" s="2" t="s">
        <v>11</v>
      </c>
      <c r="E134" s="2" t="s">
        <v>89</v>
      </c>
      <c r="F134" s="2" t="s">
        <v>90</v>
      </c>
      <c r="G134" s="2" t="s">
        <v>13</v>
      </c>
      <c r="H134" s="2">
        <v>0</v>
      </c>
    </row>
    <row r="135" spans="1:8">
      <c r="A135" s="2" t="s">
        <v>100</v>
      </c>
      <c r="B135" s="2" t="s">
        <v>26</v>
      </c>
      <c r="C135" s="2" t="s">
        <v>86</v>
      </c>
      <c r="D135" s="2" t="s">
        <v>11</v>
      </c>
      <c r="E135" s="2" t="s">
        <v>96</v>
      </c>
      <c r="F135" s="2" t="s">
        <v>97</v>
      </c>
      <c r="G135" s="2" t="s">
        <v>24</v>
      </c>
      <c r="H135" s="2">
        <v>0</v>
      </c>
    </row>
    <row r="136" spans="1:8">
      <c r="A136" s="2" t="s">
        <v>100</v>
      </c>
      <c r="B136" s="2" t="s">
        <v>26</v>
      </c>
      <c r="C136" s="2" t="s">
        <v>86</v>
      </c>
      <c r="D136" s="2" t="s">
        <v>11</v>
      </c>
      <c r="E136" s="2" t="s">
        <v>98</v>
      </c>
      <c r="F136" s="2" t="s">
        <v>99</v>
      </c>
      <c r="G136" s="2" t="s">
        <v>13</v>
      </c>
      <c r="H136" s="2">
        <v>0</v>
      </c>
    </row>
    <row r="137" spans="1:8">
      <c r="A137" s="2" t="s">
        <v>101</v>
      </c>
      <c r="B137" s="2" t="s">
        <v>26</v>
      </c>
      <c r="C137" s="2" t="s">
        <v>86</v>
      </c>
      <c r="D137" s="2" t="s">
        <v>11</v>
      </c>
      <c r="E137" s="2" t="s">
        <v>94</v>
      </c>
      <c r="F137" s="2" t="s">
        <v>95</v>
      </c>
      <c r="G137" s="2" t="s">
        <v>13</v>
      </c>
      <c r="H137" s="2">
        <v>0</v>
      </c>
    </row>
    <row r="138" spans="1:8">
      <c r="A138" s="2" t="s">
        <v>101</v>
      </c>
      <c r="B138" s="2" t="s">
        <v>26</v>
      </c>
      <c r="C138" s="2" t="s">
        <v>86</v>
      </c>
      <c r="D138" s="2" t="s">
        <v>11</v>
      </c>
      <c r="E138" s="2" t="s">
        <v>96</v>
      </c>
      <c r="F138" s="2" t="s">
        <v>97</v>
      </c>
      <c r="G138" s="2" t="s">
        <v>24</v>
      </c>
      <c r="H138" s="2">
        <v>0</v>
      </c>
    </row>
    <row r="139" spans="1:8">
      <c r="A139" s="2" t="s">
        <v>101</v>
      </c>
      <c r="B139" s="2" t="s">
        <v>26</v>
      </c>
      <c r="C139" s="2" t="s">
        <v>86</v>
      </c>
      <c r="D139" s="2" t="s">
        <v>11</v>
      </c>
      <c r="E139" s="2" t="s">
        <v>98</v>
      </c>
      <c r="F139" s="2" t="s">
        <v>99</v>
      </c>
      <c r="G139" s="2" t="s">
        <v>13</v>
      </c>
      <c r="H139" s="2">
        <v>0</v>
      </c>
    </row>
    <row r="140" spans="1:8">
      <c r="A140" s="2" t="s">
        <v>101</v>
      </c>
      <c r="B140" s="2" t="s">
        <v>26</v>
      </c>
      <c r="C140" s="2" t="s">
        <v>86</v>
      </c>
      <c r="D140" s="2" t="s">
        <v>11</v>
      </c>
      <c r="E140" s="2" t="s">
        <v>102</v>
      </c>
      <c r="F140" s="2" t="s">
        <v>31</v>
      </c>
      <c r="G140" s="2" t="s">
        <v>13</v>
      </c>
      <c r="H140" s="2">
        <v>0</v>
      </c>
    </row>
    <row r="141" spans="1:8">
      <c r="A141" s="2" t="s">
        <v>103</v>
      </c>
      <c r="B141" s="2" t="s">
        <v>26</v>
      </c>
      <c r="C141" s="2" t="s">
        <v>86</v>
      </c>
      <c r="D141" s="2" t="s">
        <v>11</v>
      </c>
      <c r="E141" s="2" t="s">
        <v>94</v>
      </c>
      <c r="F141" s="2" t="s">
        <v>95</v>
      </c>
      <c r="G141" s="2" t="s">
        <v>13</v>
      </c>
      <c r="H141" s="2">
        <v>0</v>
      </c>
    </row>
    <row r="142" spans="1:8">
      <c r="A142" s="2" t="s">
        <v>103</v>
      </c>
      <c r="B142" s="2" t="s">
        <v>26</v>
      </c>
      <c r="C142" s="2" t="s">
        <v>86</v>
      </c>
      <c r="D142" s="2" t="s">
        <v>11</v>
      </c>
      <c r="E142" s="2" t="s">
        <v>89</v>
      </c>
      <c r="F142" s="2" t="s">
        <v>90</v>
      </c>
      <c r="G142" s="2" t="s">
        <v>13</v>
      </c>
      <c r="H142" s="2">
        <v>0</v>
      </c>
    </row>
    <row r="143" spans="1:8">
      <c r="A143" s="2" t="s">
        <v>103</v>
      </c>
      <c r="B143" s="2" t="s">
        <v>26</v>
      </c>
      <c r="C143" s="2" t="s">
        <v>86</v>
      </c>
      <c r="D143" s="2" t="s">
        <v>11</v>
      </c>
      <c r="E143" s="2" t="s">
        <v>98</v>
      </c>
      <c r="F143" s="2" t="s">
        <v>99</v>
      </c>
      <c r="G143" s="2" t="s">
        <v>13</v>
      </c>
      <c r="H143" s="2">
        <v>0</v>
      </c>
    </row>
    <row r="144" spans="1:8">
      <c r="A144" s="2" t="s">
        <v>104</v>
      </c>
      <c r="B144" s="2" t="s">
        <v>26</v>
      </c>
      <c r="C144" s="2" t="s">
        <v>86</v>
      </c>
      <c r="D144" s="2" t="s">
        <v>11</v>
      </c>
      <c r="E144" s="2" t="s">
        <v>87</v>
      </c>
      <c r="F144" s="2" t="s">
        <v>88</v>
      </c>
      <c r="G144" s="2" t="s">
        <v>13</v>
      </c>
      <c r="H144" s="2">
        <v>0</v>
      </c>
    </row>
    <row r="145" spans="1:8">
      <c r="A145" s="2" t="s">
        <v>104</v>
      </c>
      <c r="B145" s="2" t="s">
        <v>26</v>
      </c>
      <c r="C145" s="2" t="s">
        <v>86</v>
      </c>
      <c r="D145" s="2" t="s">
        <v>11</v>
      </c>
      <c r="E145" s="2" t="s">
        <v>89</v>
      </c>
      <c r="F145" s="2" t="s">
        <v>90</v>
      </c>
      <c r="G145" s="2" t="s">
        <v>59</v>
      </c>
      <c r="H145" s="2">
        <v>0</v>
      </c>
    </row>
    <row r="146" spans="1:8">
      <c r="A146" s="2" t="s">
        <v>104</v>
      </c>
      <c r="B146" s="2" t="s">
        <v>26</v>
      </c>
      <c r="C146" s="2" t="s">
        <v>86</v>
      </c>
      <c r="D146" s="2" t="s">
        <v>11</v>
      </c>
      <c r="E146" s="2" t="s">
        <v>98</v>
      </c>
      <c r="F146" s="2" t="s">
        <v>99</v>
      </c>
      <c r="G146" s="2" t="s">
        <v>13</v>
      </c>
      <c r="H146" s="2">
        <v>0</v>
      </c>
    </row>
    <row r="147" spans="1:8">
      <c r="A147" s="2" t="s">
        <v>105</v>
      </c>
      <c r="B147" s="2" t="s">
        <v>26</v>
      </c>
      <c r="C147" s="2" t="s">
        <v>86</v>
      </c>
      <c r="D147" s="2" t="s">
        <v>11</v>
      </c>
      <c r="E147" s="2" t="s">
        <v>87</v>
      </c>
      <c r="F147" s="2" t="s">
        <v>88</v>
      </c>
      <c r="G147" s="2" t="s">
        <v>13</v>
      </c>
      <c r="H147" s="2">
        <v>0</v>
      </c>
    </row>
    <row r="148" spans="1:8">
      <c r="A148" s="2" t="s">
        <v>106</v>
      </c>
      <c r="B148" s="2" t="s">
        <v>26</v>
      </c>
      <c r="C148" s="2" t="s">
        <v>86</v>
      </c>
      <c r="D148" s="2" t="s">
        <v>11</v>
      </c>
      <c r="E148" s="2" t="s">
        <v>98</v>
      </c>
      <c r="F148" s="2" t="s">
        <v>99</v>
      </c>
      <c r="G148" s="2" t="s">
        <v>13</v>
      </c>
      <c r="H148" s="2">
        <v>0</v>
      </c>
    </row>
    <row r="149" spans="1:8">
      <c r="A149" s="2" t="s">
        <v>107</v>
      </c>
      <c r="B149" s="2" t="s">
        <v>11</v>
      </c>
      <c r="C149" s="2" t="s">
        <v>108</v>
      </c>
      <c r="D149" s="2" t="s">
        <v>11</v>
      </c>
      <c r="E149" s="2" t="s">
        <v>109</v>
      </c>
      <c r="F149" s="2" t="s">
        <v>110</v>
      </c>
      <c r="G149" s="2" t="s">
        <v>13</v>
      </c>
      <c r="H149" s="2">
        <v>0</v>
      </c>
    </row>
    <row r="150" spans="1:8">
      <c r="A150" s="2" t="s">
        <v>111</v>
      </c>
      <c r="B150" s="2" t="s">
        <v>11</v>
      </c>
      <c r="C150" s="2" t="s">
        <v>108</v>
      </c>
      <c r="D150" s="2" t="s">
        <v>11</v>
      </c>
      <c r="E150" s="2" t="s">
        <v>112</v>
      </c>
      <c r="F150" s="2" t="s">
        <v>113</v>
      </c>
      <c r="G150" s="2" t="s">
        <v>13</v>
      </c>
      <c r="H150" s="2">
        <v>0</v>
      </c>
    </row>
    <row r="151" spans="1:8">
      <c r="A151" s="2" t="s">
        <v>111</v>
      </c>
      <c r="B151" s="2" t="s">
        <v>11</v>
      </c>
      <c r="C151" s="2" t="s">
        <v>108</v>
      </c>
      <c r="D151" s="2" t="s">
        <v>11</v>
      </c>
      <c r="E151" s="2" t="s">
        <v>109</v>
      </c>
      <c r="F151" s="2" t="s">
        <v>110</v>
      </c>
      <c r="G151" s="2" t="s">
        <v>13</v>
      </c>
      <c r="H151" s="2">
        <v>0</v>
      </c>
    </row>
    <row r="152" spans="1:8">
      <c r="A152" s="2" t="s">
        <v>111</v>
      </c>
      <c r="B152" s="2" t="s">
        <v>11</v>
      </c>
      <c r="C152" s="2" t="s">
        <v>108</v>
      </c>
      <c r="D152" s="2" t="s">
        <v>11</v>
      </c>
      <c r="E152" s="2" t="s">
        <v>114</v>
      </c>
      <c r="F152" s="2" t="s">
        <v>115</v>
      </c>
      <c r="G152" s="2" t="s">
        <v>13</v>
      </c>
      <c r="H152" s="2">
        <v>0</v>
      </c>
    </row>
    <row r="153" spans="1:8">
      <c r="A153" s="2" t="s">
        <v>116</v>
      </c>
      <c r="B153" s="2" t="s">
        <v>9</v>
      </c>
      <c r="C153" s="2" t="s">
        <v>108</v>
      </c>
      <c r="D153" s="2" t="s">
        <v>11</v>
      </c>
      <c r="E153" s="2" t="s">
        <v>112</v>
      </c>
      <c r="F153" s="2" t="s">
        <v>113</v>
      </c>
      <c r="G153" s="2" t="s">
        <v>13</v>
      </c>
      <c r="H153" s="2">
        <v>0</v>
      </c>
    </row>
    <row r="154" spans="1:8">
      <c r="A154" s="2" t="s">
        <v>116</v>
      </c>
      <c r="B154" s="2" t="s">
        <v>9</v>
      </c>
      <c r="C154" s="2" t="s">
        <v>108</v>
      </c>
      <c r="D154" s="2" t="s">
        <v>11</v>
      </c>
      <c r="E154" s="2" t="s">
        <v>109</v>
      </c>
      <c r="F154" s="2" t="s">
        <v>110</v>
      </c>
      <c r="G154" s="2" t="s">
        <v>13</v>
      </c>
      <c r="H154" s="2">
        <v>0</v>
      </c>
    </row>
    <row r="155" spans="1:8">
      <c r="A155" s="2" t="s">
        <v>116</v>
      </c>
      <c r="B155" s="2" t="s">
        <v>9</v>
      </c>
      <c r="C155" s="2" t="s">
        <v>108</v>
      </c>
      <c r="D155" s="2" t="s">
        <v>11</v>
      </c>
      <c r="E155" s="2" t="s">
        <v>117</v>
      </c>
      <c r="F155" s="2" t="s">
        <v>117</v>
      </c>
      <c r="G155" s="2" t="s">
        <v>18</v>
      </c>
      <c r="H155" s="2">
        <v>0</v>
      </c>
    </row>
    <row r="156" spans="1:8">
      <c r="A156" s="2" t="s">
        <v>118</v>
      </c>
      <c r="B156" s="2" t="s">
        <v>92</v>
      </c>
      <c r="C156" s="2" t="s">
        <v>108</v>
      </c>
      <c r="D156" s="2" t="s">
        <v>11</v>
      </c>
      <c r="E156" s="2" t="s">
        <v>112</v>
      </c>
      <c r="F156" s="2" t="s">
        <v>113</v>
      </c>
      <c r="G156" s="2" t="s">
        <v>13</v>
      </c>
      <c r="H156" s="2">
        <v>0</v>
      </c>
    </row>
    <row r="157" spans="1:8">
      <c r="A157" s="2" t="s">
        <v>118</v>
      </c>
      <c r="B157" s="2" t="s">
        <v>92</v>
      </c>
      <c r="C157" s="2" t="s">
        <v>108</v>
      </c>
      <c r="D157" s="2" t="s">
        <v>11</v>
      </c>
      <c r="E157" s="2" t="s">
        <v>109</v>
      </c>
      <c r="F157" s="2" t="s">
        <v>110</v>
      </c>
      <c r="G157" s="2" t="s">
        <v>13</v>
      </c>
      <c r="H157" s="2">
        <v>0</v>
      </c>
    </row>
    <row r="158" spans="1:8">
      <c r="A158" s="2" t="s">
        <v>119</v>
      </c>
      <c r="B158" s="2" t="s">
        <v>92</v>
      </c>
      <c r="C158" s="2" t="s">
        <v>108</v>
      </c>
      <c r="D158" s="2" t="s">
        <v>11</v>
      </c>
      <c r="E158" s="2" t="s">
        <v>112</v>
      </c>
      <c r="F158" s="2" t="s">
        <v>113</v>
      </c>
      <c r="G158" s="2" t="s">
        <v>13</v>
      </c>
      <c r="H158" s="2">
        <v>0</v>
      </c>
    </row>
    <row r="159" spans="1:8">
      <c r="A159" s="2" t="s">
        <v>119</v>
      </c>
      <c r="B159" s="2" t="s">
        <v>92</v>
      </c>
      <c r="C159" s="2" t="s">
        <v>108</v>
      </c>
      <c r="D159" s="2" t="s">
        <v>11</v>
      </c>
      <c r="E159" s="2" t="s">
        <v>109</v>
      </c>
      <c r="F159" s="2" t="s">
        <v>110</v>
      </c>
      <c r="G159" s="2" t="s">
        <v>13</v>
      </c>
      <c r="H159" s="2">
        <v>0</v>
      </c>
    </row>
    <row r="160" spans="1:8">
      <c r="A160" s="2" t="s">
        <v>120</v>
      </c>
      <c r="B160" s="2" t="s">
        <v>92</v>
      </c>
      <c r="C160" s="2" t="s">
        <v>108</v>
      </c>
      <c r="D160" s="2" t="s">
        <v>11</v>
      </c>
      <c r="E160" s="2" t="s">
        <v>109</v>
      </c>
      <c r="F160" s="2" t="s">
        <v>110</v>
      </c>
      <c r="G160" s="2" t="s">
        <v>13</v>
      </c>
      <c r="H160" s="2">
        <v>0</v>
      </c>
    </row>
    <row r="161" spans="1:8">
      <c r="A161" s="2" t="s">
        <v>121</v>
      </c>
      <c r="B161" s="2" t="s">
        <v>26</v>
      </c>
      <c r="C161" s="2" t="s">
        <v>108</v>
      </c>
      <c r="D161" s="2" t="s">
        <v>11</v>
      </c>
      <c r="E161" s="2" t="s">
        <v>112</v>
      </c>
      <c r="F161" s="2" t="s">
        <v>113</v>
      </c>
      <c r="G161" s="2" t="s">
        <v>13</v>
      </c>
      <c r="H161" s="2">
        <v>0</v>
      </c>
    </row>
    <row r="162" spans="1:8">
      <c r="A162" s="2" t="s">
        <v>121</v>
      </c>
      <c r="B162" s="2" t="s">
        <v>26</v>
      </c>
      <c r="C162" s="2" t="s">
        <v>108</v>
      </c>
      <c r="D162" s="2" t="s">
        <v>11</v>
      </c>
      <c r="E162" s="2" t="s">
        <v>109</v>
      </c>
      <c r="F162" s="2" t="s">
        <v>110</v>
      </c>
      <c r="G162" s="2" t="s">
        <v>13</v>
      </c>
      <c r="H162" s="2">
        <v>0</v>
      </c>
    </row>
    <row r="163" spans="1:8">
      <c r="A163" s="2" t="s">
        <v>121</v>
      </c>
      <c r="B163" s="2" t="s">
        <v>26</v>
      </c>
      <c r="C163" s="2" t="s">
        <v>108</v>
      </c>
      <c r="D163" s="2" t="s">
        <v>11</v>
      </c>
      <c r="E163" s="2" t="s">
        <v>117</v>
      </c>
      <c r="F163" s="2" t="s">
        <v>117</v>
      </c>
      <c r="G163" s="2" t="s">
        <v>13</v>
      </c>
      <c r="H163" s="2">
        <v>0</v>
      </c>
    </row>
    <row r="164" spans="1:8">
      <c r="A164" s="2" t="s">
        <v>121</v>
      </c>
      <c r="B164" s="2" t="s">
        <v>26</v>
      </c>
      <c r="C164" s="2" t="s">
        <v>108</v>
      </c>
      <c r="D164" s="2" t="s">
        <v>11</v>
      </c>
      <c r="E164" s="2" t="s">
        <v>122</v>
      </c>
      <c r="F164" s="2" t="s">
        <v>31</v>
      </c>
      <c r="G164" s="2" t="s">
        <v>13</v>
      </c>
      <c r="H164" s="2">
        <v>0</v>
      </c>
    </row>
    <row r="165" spans="1:8">
      <c r="A165" s="2" t="s">
        <v>123</v>
      </c>
      <c r="B165" s="2" t="s">
        <v>26</v>
      </c>
      <c r="C165" s="2" t="s">
        <v>108</v>
      </c>
      <c r="D165" s="2" t="s">
        <v>11</v>
      </c>
      <c r="E165" s="2" t="s">
        <v>117</v>
      </c>
      <c r="F165" s="2" t="s">
        <v>117</v>
      </c>
      <c r="G165" s="2" t="s">
        <v>49</v>
      </c>
      <c r="H165" s="2">
        <v>5.9</v>
      </c>
    </row>
    <row r="166" spans="1:8">
      <c r="A166" s="2" t="s">
        <v>123</v>
      </c>
      <c r="B166" s="2" t="s">
        <v>26</v>
      </c>
      <c r="C166" s="2" t="s">
        <v>108</v>
      </c>
      <c r="D166" s="2" t="s">
        <v>11</v>
      </c>
      <c r="E166" s="2" t="s">
        <v>122</v>
      </c>
      <c r="F166" s="2" t="s">
        <v>31</v>
      </c>
      <c r="G166" s="2" t="s">
        <v>18</v>
      </c>
      <c r="H166" s="2">
        <v>5.9</v>
      </c>
    </row>
    <row r="167" spans="1:8">
      <c r="A167" s="2" t="s">
        <v>124</v>
      </c>
      <c r="B167" s="2" t="s">
        <v>26</v>
      </c>
      <c r="C167" s="2" t="s">
        <v>108</v>
      </c>
      <c r="D167" s="2" t="s">
        <v>11</v>
      </c>
      <c r="E167" s="2" t="s">
        <v>112</v>
      </c>
      <c r="F167" s="2" t="s">
        <v>113</v>
      </c>
      <c r="G167" s="2" t="s">
        <v>13</v>
      </c>
      <c r="H167" s="2">
        <v>0</v>
      </c>
    </row>
    <row r="168" spans="1:8">
      <c r="A168" s="2" t="s">
        <v>124</v>
      </c>
      <c r="B168" s="2" t="s">
        <v>26</v>
      </c>
      <c r="C168" s="2" t="s">
        <v>108</v>
      </c>
      <c r="D168" s="2" t="s">
        <v>11</v>
      </c>
      <c r="E168" s="2" t="s">
        <v>109</v>
      </c>
      <c r="F168" s="2" t="s">
        <v>110</v>
      </c>
      <c r="G168" s="2" t="s">
        <v>13</v>
      </c>
      <c r="H168" s="2">
        <v>0</v>
      </c>
    </row>
    <row r="169" spans="1:8">
      <c r="A169" s="2" t="s">
        <v>124</v>
      </c>
      <c r="B169" s="2" t="s">
        <v>26</v>
      </c>
      <c r="C169" s="2" t="s">
        <v>108</v>
      </c>
      <c r="D169" s="2" t="s">
        <v>11</v>
      </c>
      <c r="E169" s="2" t="s">
        <v>117</v>
      </c>
      <c r="F169" s="2" t="s">
        <v>117</v>
      </c>
      <c r="G169" s="2" t="s">
        <v>13</v>
      </c>
      <c r="H169" s="2">
        <v>0</v>
      </c>
    </row>
    <row r="170" spans="1:8">
      <c r="A170" s="2" t="s">
        <v>124</v>
      </c>
      <c r="B170" s="2" t="s">
        <v>26</v>
      </c>
      <c r="C170" s="2" t="s">
        <v>108</v>
      </c>
      <c r="D170" s="2" t="s">
        <v>11</v>
      </c>
      <c r="E170" s="2" t="s">
        <v>122</v>
      </c>
      <c r="F170" s="2" t="s">
        <v>31</v>
      </c>
      <c r="G170" s="2" t="s">
        <v>13</v>
      </c>
      <c r="H170" s="2">
        <v>0</v>
      </c>
    </row>
    <row r="171" spans="1:8">
      <c r="A171" s="2" t="s">
        <v>125</v>
      </c>
      <c r="B171" s="2" t="s">
        <v>26</v>
      </c>
      <c r="C171" s="2" t="s">
        <v>108</v>
      </c>
      <c r="D171" s="2" t="s">
        <v>11</v>
      </c>
      <c r="E171" s="2" t="s">
        <v>94</v>
      </c>
      <c r="F171" s="2" t="s">
        <v>95</v>
      </c>
      <c r="G171" s="2" t="s">
        <v>13</v>
      </c>
      <c r="H171" s="2">
        <v>0</v>
      </c>
    </row>
    <row r="172" spans="1:8">
      <c r="A172" s="2" t="s">
        <v>125</v>
      </c>
      <c r="B172" s="2" t="s">
        <v>26</v>
      </c>
      <c r="C172" s="2" t="s">
        <v>108</v>
      </c>
      <c r="D172" s="2" t="s">
        <v>11</v>
      </c>
      <c r="E172" s="2" t="s">
        <v>117</v>
      </c>
      <c r="F172" s="2" t="s">
        <v>117</v>
      </c>
      <c r="G172" s="2" t="s">
        <v>18</v>
      </c>
      <c r="H172" s="2">
        <v>0</v>
      </c>
    </row>
    <row r="173" spans="1:8">
      <c r="A173" s="2" t="s">
        <v>125</v>
      </c>
      <c r="B173" s="2" t="s">
        <v>26</v>
      </c>
      <c r="C173" s="2" t="s">
        <v>108</v>
      </c>
      <c r="D173" s="2" t="s">
        <v>11</v>
      </c>
      <c r="E173" s="2" t="s">
        <v>122</v>
      </c>
      <c r="F173" s="2" t="s">
        <v>31</v>
      </c>
      <c r="G173" s="2" t="s">
        <v>13</v>
      </c>
      <c r="H173" s="2">
        <v>0</v>
      </c>
    </row>
    <row r="174" spans="1:8">
      <c r="A174" s="2" t="s">
        <v>126</v>
      </c>
      <c r="B174" s="2" t="s">
        <v>26</v>
      </c>
      <c r="C174" s="2" t="s">
        <v>108</v>
      </c>
      <c r="D174" s="2" t="s">
        <v>11</v>
      </c>
      <c r="E174" s="2" t="s">
        <v>94</v>
      </c>
      <c r="F174" s="2" t="s">
        <v>95</v>
      </c>
      <c r="G174" s="2" t="s">
        <v>24</v>
      </c>
      <c r="H174" s="2">
        <v>0</v>
      </c>
    </row>
    <row r="175" spans="1:8">
      <c r="A175" s="2" t="s">
        <v>126</v>
      </c>
      <c r="B175" s="2" t="s">
        <v>26</v>
      </c>
      <c r="C175" s="2" t="s">
        <v>108</v>
      </c>
      <c r="D175" s="2" t="s">
        <v>11</v>
      </c>
      <c r="E175" s="2" t="s">
        <v>112</v>
      </c>
      <c r="F175" s="2" t="s">
        <v>113</v>
      </c>
      <c r="G175" s="2" t="s">
        <v>18</v>
      </c>
      <c r="H175" s="2">
        <v>0</v>
      </c>
    </row>
    <row r="176" spans="1:8">
      <c r="A176" s="2" t="s">
        <v>126</v>
      </c>
      <c r="B176" s="2" t="s">
        <v>26</v>
      </c>
      <c r="C176" s="2" t="s">
        <v>108</v>
      </c>
      <c r="D176" s="2" t="s">
        <v>11</v>
      </c>
      <c r="E176" s="2" t="s">
        <v>109</v>
      </c>
      <c r="F176" s="2" t="s">
        <v>110</v>
      </c>
      <c r="G176" s="2" t="s">
        <v>24</v>
      </c>
      <c r="H176" s="2">
        <v>0</v>
      </c>
    </row>
    <row r="177" spans="1:8">
      <c r="A177" s="2" t="s">
        <v>126</v>
      </c>
      <c r="B177" s="2" t="s">
        <v>26</v>
      </c>
      <c r="C177" s="2" t="s">
        <v>108</v>
      </c>
      <c r="D177" s="2" t="s">
        <v>11</v>
      </c>
      <c r="E177" s="2" t="s">
        <v>117</v>
      </c>
      <c r="F177" s="2" t="s">
        <v>117</v>
      </c>
      <c r="G177" s="2" t="s">
        <v>13</v>
      </c>
      <c r="H177" s="2">
        <v>0</v>
      </c>
    </row>
    <row r="178" spans="1:8">
      <c r="A178" s="2" t="s">
        <v>126</v>
      </c>
      <c r="B178" s="2" t="s">
        <v>26</v>
      </c>
      <c r="C178" s="2" t="s">
        <v>108</v>
      </c>
      <c r="D178" s="2" t="s">
        <v>11</v>
      </c>
      <c r="E178" s="2" t="s">
        <v>122</v>
      </c>
      <c r="F178" s="2" t="s">
        <v>31</v>
      </c>
      <c r="G178" s="2" t="s">
        <v>13</v>
      </c>
      <c r="H178" s="2">
        <v>0</v>
      </c>
    </row>
    <row r="179" spans="1:8">
      <c r="A179" s="2" t="s">
        <v>126</v>
      </c>
      <c r="B179" s="2" t="s">
        <v>26</v>
      </c>
      <c r="C179" s="2" t="s">
        <v>108</v>
      </c>
      <c r="D179" s="2" t="s">
        <v>11</v>
      </c>
      <c r="E179" s="2" t="s">
        <v>127</v>
      </c>
      <c r="F179" s="2" t="s">
        <v>127</v>
      </c>
      <c r="G179" s="2" t="s">
        <v>18</v>
      </c>
      <c r="H179" s="2">
        <v>0</v>
      </c>
    </row>
    <row r="180" spans="1:8">
      <c r="A180" s="2" t="s">
        <v>128</v>
      </c>
      <c r="B180" s="2" t="s">
        <v>26</v>
      </c>
      <c r="C180" s="2" t="s">
        <v>108</v>
      </c>
      <c r="D180" s="2" t="s">
        <v>11</v>
      </c>
      <c r="E180" s="2" t="s">
        <v>112</v>
      </c>
      <c r="F180" s="2" t="s">
        <v>113</v>
      </c>
      <c r="G180" s="2" t="s">
        <v>13</v>
      </c>
      <c r="H180" s="2">
        <v>0</v>
      </c>
    </row>
    <row r="181" spans="1:8">
      <c r="A181" s="2" t="s">
        <v>128</v>
      </c>
      <c r="B181" s="2" t="s">
        <v>26</v>
      </c>
      <c r="C181" s="2" t="s">
        <v>108</v>
      </c>
      <c r="D181" s="2" t="s">
        <v>11</v>
      </c>
      <c r="E181" s="2" t="s">
        <v>109</v>
      </c>
      <c r="F181" s="2" t="s">
        <v>110</v>
      </c>
      <c r="G181" s="2" t="s">
        <v>13</v>
      </c>
      <c r="H181" s="2">
        <v>0</v>
      </c>
    </row>
    <row r="182" spans="1:8">
      <c r="A182" s="2" t="s">
        <v>128</v>
      </c>
      <c r="B182" s="2" t="s">
        <v>26</v>
      </c>
      <c r="C182" s="2" t="s">
        <v>108</v>
      </c>
      <c r="D182" s="2" t="s">
        <v>11</v>
      </c>
      <c r="E182" s="2" t="s">
        <v>117</v>
      </c>
      <c r="F182" s="2" t="s">
        <v>117</v>
      </c>
      <c r="G182" s="2" t="s">
        <v>24</v>
      </c>
      <c r="H182" s="2">
        <v>0</v>
      </c>
    </row>
    <row r="183" spans="1:8">
      <c r="A183" s="2" t="s">
        <v>128</v>
      </c>
      <c r="B183" s="2" t="s">
        <v>26</v>
      </c>
      <c r="C183" s="2" t="s">
        <v>108</v>
      </c>
      <c r="D183" s="2" t="s">
        <v>11</v>
      </c>
      <c r="E183" s="2" t="s">
        <v>122</v>
      </c>
      <c r="F183" s="2" t="s">
        <v>31</v>
      </c>
      <c r="G183" s="2" t="s">
        <v>13</v>
      </c>
      <c r="H183" s="2">
        <v>0</v>
      </c>
    </row>
    <row r="184" spans="1:8">
      <c r="A184" s="2" t="s">
        <v>129</v>
      </c>
      <c r="B184" s="2" t="s">
        <v>26</v>
      </c>
      <c r="C184" s="2" t="s">
        <v>108</v>
      </c>
      <c r="D184" s="2" t="s">
        <v>11</v>
      </c>
      <c r="E184" s="2" t="s">
        <v>112</v>
      </c>
      <c r="F184" s="2" t="s">
        <v>113</v>
      </c>
      <c r="G184" s="2" t="s">
        <v>24</v>
      </c>
      <c r="H184" s="2">
        <v>0</v>
      </c>
    </row>
    <row r="185" spans="1:8">
      <c r="A185" s="2" t="s">
        <v>129</v>
      </c>
      <c r="B185" s="2" t="s">
        <v>26</v>
      </c>
      <c r="C185" s="2" t="s">
        <v>108</v>
      </c>
      <c r="D185" s="2" t="s">
        <v>11</v>
      </c>
      <c r="E185" s="2" t="s">
        <v>109</v>
      </c>
      <c r="F185" s="2" t="s">
        <v>110</v>
      </c>
      <c r="G185" s="2" t="s">
        <v>13</v>
      </c>
      <c r="H185" s="2">
        <v>0</v>
      </c>
    </row>
    <row r="186" spans="1:8">
      <c r="A186" s="2" t="s">
        <v>129</v>
      </c>
      <c r="B186" s="2" t="s">
        <v>26</v>
      </c>
      <c r="C186" s="2" t="s">
        <v>108</v>
      </c>
      <c r="D186" s="2" t="s">
        <v>11</v>
      </c>
      <c r="E186" s="2" t="s">
        <v>117</v>
      </c>
      <c r="F186" s="2" t="s">
        <v>117</v>
      </c>
      <c r="G186" s="2" t="s">
        <v>13</v>
      </c>
      <c r="H186" s="2">
        <v>0</v>
      </c>
    </row>
    <row r="187" spans="1:8">
      <c r="A187" s="2" t="s">
        <v>129</v>
      </c>
      <c r="B187" s="2" t="s">
        <v>26</v>
      </c>
      <c r="C187" s="2" t="s">
        <v>108</v>
      </c>
      <c r="D187" s="2" t="s">
        <v>11</v>
      </c>
      <c r="E187" s="2" t="s">
        <v>122</v>
      </c>
      <c r="F187" s="2" t="s">
        <v>31</v>
      </c>
      <c r="G187" s="2" t="s">
        <v>18</v>
      </c>
      <c r="H187" s="2">
        <v>0</v>
      </c>
    </row>
    <row r="188" spans="1:8">
      <c r="A188" s="2" t="s">
        <v>130</v>
      </c>
      <c r="B188" s="2" t="s">
        <v>26</v>
      </c>
      <c r="C188" s="2" t="s">
        <v>108</v>
      </c>
      <c r="D188" s="2" t="s">
        <v>11</v>
      </c>
      <c r="E188" s="2" t="s">
        <v>122</v>
      </c>
      <c r="F188" s="2" t="s">
        <v>31</v>
      </c>
      <c r="G188" s="2" t="s">
        <v>13</v>
      </c>
      <c r="H188" s="2">
        <v>0</v>
      </c>
    </row>
    <row r="189" spans="1:8">
      <c r="A189" s="2" t="s">
        <v>131</v>
      </c>
      <c r="B189" s="2" t="s">
        <v>26</v>
      </c>
      <c r="C189" s="2" t="s">
        <v>108</v>
      </c>
      <c r="D189" s="2" t="s">
        <v>11</v>
      </c>
      <c r="E189" s="2" t="s">
        <v>112</v>
      </c>
      <c r="F189" s="2" t="s">
        <v>113</v>
      </c>
      <c r="G189" s="2" t="s">
        <v>18</v>
      </c>
      <c r="H189" s="2">
        <v>0</v>
      </c>
    </row>
    <row r="190" spans="1:8">
      <c r="A190" s="2" t="s">
        <v>131</v>
      </c>
      <c r="B190" s="2" t="s">
        <v>26</v>
      </c>
      <c r="C190" s="2" t="s">
        <v>108</v>
      </c>
      <c r="D190" s="2" t="s">
        <v>11</v>
      </c>
      <c r="E190" s="2" t="s">
        <v>117</v>
      </c>
      <c r="F190" s="2" t="s">
        <v>117</v>
      </c>
      <c r="G190" s="2" t="s">
        <v>18</v>
      </c>
      <c r="H190" s="2">
        <v>0</v>
      </c>
    </row>
    <row r="191" spans="1:8">
      <c r="A191" s="2" t="s">
        <v>131</v>
      </c>
      <c r="B191" s="2" t="s">
        <v>26</v>
      </c>
      <c r="C191" s="2" t="s">
        <v>108</v>
      </c>
      <c r="D191" s="2" t="s">
        <v>11</v>
      </c>
      <c r="E191" s="2" t="s">
        <v>122</v>
      </c>
      <c r="F191" s="2" t="s">
        <v>31</v>
      </c>
      <c r="G191" s="2" t="s">
        <v>13</v>
      </c>
      <c r="H191" s="2">
        <v>0</v>
      </c>
    </row>
    <row r="192" spans="1:8">
      <c r="A192" s="2" t="s">
        <v>132</v>
      </c>
      <c r="B192" s="2" t="s">
        <v>26</v>
      </c>
      <c r="C192" s="2" t="s">
        <v>108</v>
      </c>
      <c r="D192" s="2" t="s">
        <v>11</v>
      </c>
      <c r="E192" s="2" t="s">
        <v>94</v>
      </c>
      <c r="F192" s="2" t="s">
        <v>95</v>
      </c>
      <c r="G192" s="2" t="s">
        <v>13</v>
      </c>
      <c r="H192" s="2">
        <v>0</v>
      </c>
    </row>
    <row r="193" spans="1:8">
      <c r="A193" s="2" t="s">
        <v>132</v>
      </c>
      <c r="B193" s="2" t="s">
        <v>26</v>
      </c>
      <c r="C193" s="2" t="s">
        <v>108</v>
      </c>
      <c r="D193" s="2" t="s">
        <v>11</v>
      </c>
      <c r="E193" s="2" t="s">
        <v>117</v>
      </c>
      <c r="F193" s="2" t="s">
        <v>117</v>
      </c>
      <c r="G193" s="2" t="s">
        <v>18</v>
      </c>
      <c r="H193" s="2">
        <v>0</v>
      </c>
    </row>
    <row r="194" spans="1:8">
      <c r="A194" s="2" t="s">
        <v>132</v>
      </c>
      <c r="B194" s="2" t="s">
        <v>26</v>
      </c>
      <c r="C194" s="2" t="s">
        <v>108</v>
      </c>
      <c r="D194" s="2" t="s">
        <v>11</v>
      </c>
      <c r="E194" s="2" t="s">
        <v>122</v>
      </c>
      <c r="F194" s="2" t="s">
        <v>31</v>
      </c>
      <c r="G194" s="2" t="s">
        <v>13</v>
      </c>
      <c r="H194" s="2">
        <v>0</v>
      </c>
    </row>
    <row r="195" spans="1:8">
      <c r="A195" s="2" t="s">
        <v>133</v>
      </c>
      <c r="B195" s="2" t="s">
        <v>9</v>
      </c>
      <c r="C195" s="2" t="s">
        <v>134</v>
      </c>
      <c r="D195" s="2" t="s">
        <v>11</v>
      </c>
      <c r="E195" s="2" t="s">
        <v>135</v>
      </c>
      <c r="F195" s="2" t="s">
        <v>136</v>
      </c>
      <c r="G195" s="2" t="s">
        <v>18</v>
      </c>
      <c r="H195" s="2">
        <v>5.5</v>
      </c>
    </row>
    <row r="196" spans="1:8">
      <c r="A196" s="2" t="s">
        <v>137</v>
      </c>
      <c r="B196" s="2" t="s">
        <v>9</v>
      </c>
      <c r="C196" s="2" t="s">
        <v>134</v>
      </c>
      <c r="D196" s="2" t="s">
        <v>11</v>
      </c>
      <c r="E196" s="2" t="s">
        <v>27</v>
      </c>
      <c r="F196" s="2" t="s">
        <v>28</v>
      </c>
      <c r="G196" s="2" t="s">
        <v>13</v>
      </c>
      <c r="H196" s="2">
        <v>0</v>
      </c>
    </row>
    <row r="197" spans="1:8">
      <c r="A197" s="2" t="s">
        <v>137</v>
      </c>
      <c r="B197" s="2" t="s">
        <v>9</v>
      </c>
      <c r="C197" s="2" t="s">
        <v>134</v>
      </c>
      <c r="D197" s="2" t="s">
        <v>11</v>
      </c>
      <c r="E197" s="2" t="s">
        <v>135</v>
      </c>
      <c r="F197" s="2" t="s">
        <v>136</v>
      </c>
      <c r="G197" s="2" t="s">
        <v>13</v>
      </c>
      <c r="H197" s="2">
        <v>0</v>
      </c>
    </row>
    <row r="198" spans="1:8">
      <c r="A198" s="2" t="s">
        <v>137</v>
      </c>
      <c r="B198" s="2" t="s">
        <v>9</v>
      </c>
      <c r="C198" s="2" t="s">
        <v>134</v>
      </c>
      <c r="D198" s="2" t="s">
        <v>11</v>
      </c>
      <c r="E198" s="2" t="s">
        <v>138</v>
      </c>
      <c r="F198" s="2" t="s">
        <v>138</v>
      </c>
      <c r="G198" s="2" t="s">
        <v>13</v>
      </c>
      <c r="H198" s="2">
        <v>0</v>
      </c>
    </row>
    <row r="199" spans="1:8">
      <c r="A199" s="2" t="s">
        <v>137</v>
      </c>
      <c r="B199" s="2" t="s">
        <v>9</v>
      </c>
      <c r="C199" s="2" t="s">
        <v>134</v>
      </c>
      <c r="D199" s="2" t="s">
        <v>11</v>
      </c>
      <c r="E199" s="2" t="s">
        <v>139</v>
      </c>
      <c r="F199" s="2" t="s">
        <v>140</v>
      </c>
      <c r="G199" s="2" t="s">
        <v>18</v>
      </c>
      <c r="H199" s="2">
        <v>0</v>
      </c>
    </row>
    <row r="200" spans="1:8">
      <c r="A200" s="2" t="s">
        <v>141</v>
      </c>
      <c r="B200" s="2" t="s">
        <v>92</v>
      </c>
      <c r="C200" s="2" t="s">
        <v>134</v>
      </c>
      <c r="D200" s="2" t="s">
        <v>11</v>
      </c>
      <c r="E200" s="2" t="s">
        <v>135</v>
      </c>
      <c r="F200" s="2" t="s">
        <v>136</v>
      </c>
      <c r="G200" s="2" t="s">
        <v>24</v>
      </c>
      <c r="H200" s="2">
        <v>0</v>
      </c>
    </row>
    <row r="201" spans="1:8">
      <c r="A201" s="2" t="s">
        <v>141</v>
      </c>
      <c r="B201" s="2" t="s">
        <v>92</v>
      </c>
      <c r="C201" s="2" t="s">
        <v>134</v>
      </c>
      <c r="D201" s="2" t="s">
        <v>11</v>
      </c>
      <c r="E201" s="2" t="s">
        <v>138</v>
      </c>
      <c r="F201" s="2" t="s">
        <v>138</v>
      </c>
      <c r="G201" s="2" t="s">
        <v>13</v>
      </c>
      <c r="H201" s="2">
        <v>0</v>
      </c>
    </row>
    <row r="202" spans="1:8">
      <c r="A202" s="2" t="s">
        <v>142</v>
      </c>
      <c r="B202" s="2" t="s">
        <v>92</v>
      </c>
      <c r="C202" s="2" t="s">
        <v>134</v>
      </c>
      <c r="D202" s="2" t="s">
        <v>11</v>
      </c>
      <c r="E202" s="2" t="s">
        <v>27</v>
      </c>
      <c r="F202" s="2" t="s">
        <v>28</v>
      </c>
      <c r="G202" s="2" t="s">
        <v>24</v>
      </c>
      <c r="H202" s="2">
        <v>0</v>
      </c>
    </row>
    <row r="203" spans="1:8">
      <c r="A203" s="2" t="s">
        <v>142</v>
      </c>
      <c r="B203" s="2" t="s">
        <v>92</v>
      </c>
      <c r="C203" s="2" t="s">
        <v>134</v>
      </c>
      <c r="D203" s="2" t="s">
        <v>11</v>
      </c>
      <c r="E203" s="2" t="s">
        <v>135</v>
      </c>
      <c r="F203" s="2" t="s">
        <v>136</v>
      </c>
      <c r="G203" s="2" t="s">
        <v>24</v>
      </c>
      <c r="H203" s="2">
        <v>0</v>
      </c>
    </row>
    <row r="204" spans="1:8">
      <c r="A204" s="2" t="s">
        <v>142</v>
      </c>
      <c r="B204" s="2" t="s">
        <v>92</v>
      </c>
      <c r="C204" s="2" t="s">
        <v>134</v>
      </c>
      <c r="D204" s="2" t="s">
        <v>11</v>
      </c>
      <c r="E204" s="2" t="s">
        <v>139</v>
      </c>
      <c r="F204" s="2" t="s">
        <v>140</v>
      </c>
      <c r="G204" s="2" t="s">
        <v>59</v>
      </c>
      <c r="H204" s="2">
        <v>0</v>
      </c>
    </row>
    <row r="205" spans="1:8">
      <c r="A205" s="2" t="s">
        <v>143</v>
      </c>
      <c r="B205" s="2" t="s">
        <v>92</v>
      </c>
      <c r="C205" s="2" t="s">
        <v>134</v>
      </c>
      <c r="D205" s="2" t="s">
        <v>11</v>
      </c>
      <c r="E205" s="2" t="s">
        <v>27</v>
      </c>
      <c r="F205" s="2" t="s">
        <v>28</v>
      </c>
      <c r="G205" s="2" t="s">
        <v>13</v>
      </c>
      <c r="H205" s="2">
        <v>0</v>
      </c>
    </row>
    <row r="206" spans="1:8">
      <c r="A206" s="2" t="s">
        <v>143</v>
      </c>
      <c r="B206" s="2" t="s">
        <v>92</v>
      </c>
      <c r="C206" s="2" t="s">
        <v>134</v>
      </c>
      <c r="D206" s="2" t="s">
        <v>11</v>
      </c>
      <c r="E206" s="2" t="s">
        <v>135</v>
      </c>
      <c r="F206" s="2" t="s">
        <v>136</v>
      </c>
      <c r="G206" s="2" t="s">
        <v>24</v>
      </c>
      <c r="H206" s="2">
        <v>0</v>
      </c>
    </row>
    <row r="207" spans="1:8">
      <c r="A207" s="2" t="s">
        <v>143</v>
      </c>
      <c r="B207" s="2" t="s">
        <v>92</v>
      </c>
      <c r="C207" s="2" t="s">
        <v>134</v>
      </c>
      <c r="D207" s="2" t="s">
        <v>11</v>
      </c>
      <c r="E207" s="2" t="s">
        <v>144</v>
      </c>
      <c r="F207" s="2" t="s">
        <v>144</v>
      </c>
      <c r="G207" s="2" t="s">
        <v>24</v>
      </c>
      <c r="H207" s="2">
        <v>0</v>
      </c>
    </row>
    <row r="208" spans="1:8">
      <c r="A208" s="2" t="s">
        <v>145</v>
      </c>
      <c r="B208" s="2" t="s">
        <v>26</v>
      </c>
      <c r="C208" s="2" t="s">
        <v>134</v>
      </c>
      <c r="D208" s="2" t="s">
        <v>11</v>
      </c>
      <c r="E208" s="2" t="s">
        <v>27</v>
      </c>
      <c r="F208" s="2" t="s">
        <v>28</v>
      </c>
      <c r="G208" s="2" t="s">
        <v>13</v>
      </c>
      <c r="H208" s="2">
        <v>0</v>
      </c>
    </row>
    <row r="209" spans="1:8">
      <c r="A209" s="2" t="s">
        <v>146</v>
      </c>
      <c r="B209" s="2" t="s">
        <v>26</v>
      </c>
      <c r="C209" s="2" t="s">
        <v>134</v>
      </c>
      <c r="D209" s="2" t="s">
        <v>11</v>
      </c>
      <c r="E209" s="2" t="s">
        <v>147</v>
      </c>
      <c r="F209" s="2" t="s">
        <v>147</v>
      </c>
      <c r="G209" s="2" t="s">
        <v>13</v>
      </c>
      <c r="H209" s="2">
        <v>0</v>
      </c>
    </row>
    <row r="210" spans="1:8">
      <c r="A210" s="2" t="s">
        <v>148</v>
      </c>
      <c r="B210" s="2" t="s">
        <v>26</v>
      </c>
      <c r="C210" s="2" t="s">
        <v>134</v>
      </c>
      <c r="D210" s="2" t="s">
        <v>11</v>
      </c>
      <c r="E210" s="2" t="s">
        <v>147</v>
      </c>
      <c r="F210" s="2" t="s">
        <v>147</v>
      </c>
      <c r="G210" s="2" t="s">
        <v>13</v>
      </c>
      <c r="H210" s="2">
        <v>0</v>
      </c>
    </row>
    <row r="211" spans="1:8">
      <c r="A211" s="2" t="s">
        <v>149</v>
      </c>
      <c r="B211" s="2" t="s">
        <v>26</v>
      </c>
      <c r="C211" s="2" t="s">
        <v>134</v>
      </c>
      <c r="D211" s="2" t="s">
        <v>11</v>
      </c>
      <c r="E211" s="2" t="s">
        <v>27</v>
      </c>
      <c r="F211" s="2" t="s">
        <v>28</v>
      </c>
      <c r="G211" s="2" t="s">
        <v>13</v>
      </c>
      <c r="H211" s="2">
        <v>0</v>
      </c>
    </row>
    <row r="212" spans="1:8">
      <c r="A212" s="2" t="s">
        <v>149</v>
      </c>
      <c r="B212" s="2" t="s">
        <v>26</v>
      </c>
      <c r="C212" s="2" t="s">
        <v>134</v>
      </c>
      <c r="D212" s="2" t="s">
        <v>11</v>
      </c>
      <c r="E212" s="2" t="s">
        <v>147</v>
      </c>
      <c r="F212" s="2" t="s">
        <v>147</v>
      </c>
      <c r="G212" s="2" t="s">
        <v>18</v>
      </c>
      <c r="H212" s="2">
        <v>0</v>
      </c>
    </row>
    <row r="213" spans="1:8">
      <c r="A213" s="2" t="s">
        <v>150</v>
      </c>
      <c r="B213" s="2" t="s">
        <v>26</v>
      </c>
      <c r="C213" s="2" t="s">
        <v>134</v>
      </c>
      <c r="D213" s="2" t="s">
        <v>11</v>
      </c>
      <c r="E213" s="2" t="s">
        <v>27</v>
      </c>
      <c r="F213" s="2" t="s">
        <v>28</v>
      </c>
      <c r="G213" s="2" t="s">
        <v>18</v>
      </c>
      <c r="H213" s="2">
        <v>0</v>
      </c>
    </row>
    <row r="214" spans="1:8">
      <c r="A214" s="2" t="s">
        <v>150</v>
      </c>
      <c r="B214" s="2" t="s">
        <v>26</v>
      </c>
      <c r="C214" s="2" t="s">
        <v>134</v>
      </c>
      <c r="D214" s="2" t="s">
        <v>11</v>
      </c>
      <c r="E214" s="2" t="s">
        <v>139</v>
      </c>
      <c r="F214" s="2" t="s">
        <v>140</v>
      </c>
      <c r="G214" s="2" t="s">
        <v>24</v>
      </c>
      <c r="H214" s="2">
        <v>0</v>
      </c>
    </row>
    <row r="215" spans="1:8">
      <c r="A215" s="2" t="s">
        <v>151</v>
      </c>
      <c r="B215" s="2" t="s">
        <v>26</v>
      </c>
      <c r="C215" s="2" t="s">
        <v>134</v>
      </c>
      <c r="D215" s="2" t="s">
        <v>11</v>
      </c>
      <c r="E215" s="2" t="s">
        <v>27</v>
      </c>
      <c r="F215" s="2" t="s">
        <v>28</v>
      </c>
      <c r="G215" s="2" t="s">
        <v>59</v>
      </c>
      <c r="H215" s="2">
        <v>5.93</v>
      </c>
    </row>
    <row r="216" spans="1:8">
      <c r="A216" s="2" t="s">
        <v>151</v>
      </c>
      <c r="B216" s="2" t="s">
        <v>26</v>
      </c>
      <c r="C216" s="2" t="s">
        <v>134</v>
      </c>
      <c r="D216" s="2" t="s">
        <v>11</v>
      </c>
      <c r="E216" s="2" t="s">
        <v>144</v>
      </c>
      <c r="F216" s="2" t="s">
        <v>144</v>
      </c>
      <c r="G216" s="2" t="s">
        <v>18</v>
      </c>
      <c r="H216" s="2">
        <v>5.93</v>
      </c>
    </row>
    <row r="217" spans="1:8">
      <c r="A217" s="2" t="s">
        <v>151</v>
      </c>
      <c r="B217" s="2" t="s">
        <v>26</v>
      </c>
      <c r="C217" s="2" t="s">
        <v>134</v>
      </c>
      <c r="D217" s="2" t="s">
        <v>11</v>
      </c>
      <c r="E217" s="2" t="s">
        <v>147</v>
      </c>
      <c r="F217" s="2" t="s">
        <v>147</v>
      </c>
      <c r="G217" s="2" t="s">
        <v>18</v>
      </c>
      <c r="H217" s="2">
        <v>5.93</v>
      </c>
    </row>
    <row r="218" spans="1:8">
      <c r="A218" s="2" t="s">
        <v>152</v>
      </c>
      <c r="B218" s="2" t="s">
        <v>26</v>
      </c>
      <c r="C218" s="2" t="s">
        <v>134</v>
      </c>
      <c r="D218" s="2" t="s">
        <v>11</v>
      </c>
      <c r="E218" s="2" t="s">
        <v>139</v>
      </c>
      <c r="F218" s="2" t="s">
        <v>140</v>
      </c>
      <c r="G218" s="2" t="s">
        <v>24</v>
      </c>
      <c r="H218" s="2">
        <v>0</v>
      </c>
    </row>
    <row r="219" spans="1:8">
      <c r="A219" s="2" t="s">
        <v>153</v>
      </c>
      <c r="B219" s="2" t="s">
        <v>11</v>
      </c>
      <c r="C219" s="2" t="s">
        <v>154</v>
      </c>
      <c r="D219" s="2" t="s">
        <v>11</v>
      </c>
      <c r="E219" s="2" t="s">
        <v>155</v>
      </c>
      <c r="F219" s="2" t="s">
        <v>155</v>
      </c>
      <c r="G219" s="2" t="s">
        <v>24</v>
      </c>
      <c r="H219" s="2">
        <v>0</v>
      </c>
    </row>
    <row r="220" spans="1:8">
      <c r="A220" s="2" t="s">
        <v>156</v>
      </c>
      <c r="B220" s="2" t="s">
        <v>92</v>
      </c>
      <c r="C220" s="2" t="s">
        <v>154</v>
      </c>
      <c r="D220" s="2" t="s">
        <v>11</v>
      </c>
      <c r="E220" s="2" t="s">
        <v>157</v>
      </c>
      <c r="F220" s="2" t="s">
        <v>157</v>
      </c>
      <c r="G220" s="2" t="s">
        <v>59</v>
      </c>
      <c r="H220" s="2">
        <v>6.5</v>
      </c>
    </row>
    <row r="221" spans="1:8">
      <c r="A221" s="2" t="s">
        <v>158</v>
      </c>
      <c r="B221" s="2" t="s">
        <v>92</v>
      </c>
      <c r="C221" s="2" t="s">
        <v>154</v>
      </c>
      <c r="D221" s="2" t="s">
        <v>11</v>
      </c>
      <c r="E221" s="2" t="s">
        <v>159</v>
      </c>
      <c r="F221" s="2" t="s">
        <v>160</v>
      </c>
      <c r="G221" s="2" t="s">
        <v>24</v>
      </c>
      <c r="H221" s="2">
        <v>0</v>
      </c>
    </row>
    <row r="222" spans="1:8">
      <c r="A222" s="2" t="s">
        <v>158</v>
      </c>
      <c r="B222" s="2" t="s">
        <v>92</v>
      </c>
      <c r="C222" s="2" t="s">
        <v>154</v>
      </c>
      <c r="D222" s="2" t="s">
        <v>11</v>
      </c>
      <c r="E222" s="2" t="s">
        <v>155</v>
      </c>
      <c r="F222" s="2" t="s">
        <v>155</v>
      </c>
      <c r="G222" s="2" t="s">
        <v>24</v>
      </c>
      <c r="H222" s="2">
        <v>0</v>
      </c>
    </row>
    <row r="223" spans="1:8">
      <c r="A223" s="2" t="s">
        <v>161</v>
      </c>
      <c r="B223" s="2" t="s">
        <v>92</v>
      </c>
      <c r="C223" s="2" t="s">
        <v>154</v>
      </c>
      <c r="D223" s="2" t="s">
        <v>11</v>
      </c>
      <c r="E223" s="2" t="s">
        <v>157</v>
      </c>
      <c r="F223" s="2" t="s">
        <v>157</v>
      </c>
      <c r="G223" s="2" t="s">
        <v>13</v>
      </c>
      <c r="H223" s="2">
        <v>0</v>
      </c>
    </row>
    <row r="224" spans="1:8">
      <c r="A224" s="2" t="s">
        <v>162</v>
      </c>
      <c r="B224" s="2" t="s">
        <v>92</v>
      </c>
      <c r="C224" s="2" t="s">
        <v>154</v>
      </c>
      <c r="D224" s="2" t="s">
        <v>11</v>
      </c>
      <c r="E224" s="2" t="s">
        <v>94</v>
      </c>
      <c r="F224" s="2" t="s">
        <v>95</v>
      </c>
      <c r="G224" s="2" t="s">
        <v>13</v>
      </c>
      <c r="H224" s="2">
        <v>0</v>
      </c>
    </row>
    <row r="225" spans="1:8">
      <c r="A225" s="2" t="s">
        <v>162</v>
      </c>
      <c r="B225" s="2" t="s">
        <v>92</v>
      </c>
      <c r="C225" s="2" t="s">
        <v>154</v>
      </c>
      <c r="D225" s="2" t="s">
        <v>11</v>
      </c>
      <c r="E225" s="2" t="s">
        <v>157</v>
      </c>
      <c r="F225" s="2" t="s">
        <v>157</v>
      </c>
      <c r="G225" s="2" t="s">
        <v>13</v>
      </c>
      <c r="H225" s="2">
        <v>0</v>
      </c>
    </row>
    <row r="226" spans="1:8">
      <c r="A226" s="2" t="s">
        <v>162</v>
      </c>
      <c r="B226" s="2" t="s">
        <v>92</v>
      </c>
      <c r="C226" s="2" t="s">
        <v>154</v>
      </c>
      <c r="D226" s="2" t="s">
        <v>11</v>
      </c>
      <c r="E226" s="2" t="s">
        <v>159</v>
      </c>
      <c r="F226" s="2" t="s">
        <v>160</v>
      </c>
      <c r="G226" s="2" t="s">
        <v>18</v>
      </c>
      <c r="H226" s="2">
        <v>0</v>
      </c>
    </row>
    <row r="227" spans="1:8">
      <c r="A227" s="2" t="s">
        <v>162</v>
      </c>
      <c r="B227" s="2" t="s">
        <v>92</v>
      </c>
      <c r="C227" s="2" t="s">
        <v>154</v>
      </c>
      <c r="D227" s="2" t="s">
        <v>11</v>
      </c>
      <c r="E227" s="2" t="s">
        <v>155</v>
      </c>
      <c r="F227" s="2" t="s">
        <v>155</v>
      </c>
      <c r="G227" s="2" t="s">
        <v>13</v>
      </c>
      <c r="H227" s="2">
        <v>0</v>
      </c>
    </row>
    <row r="228" spans="1:8">
      <c r="A228" s="2" t="s">
        <v>163</v>
      </c>
      <c r="B228" s="2" t="s">
        <v>92</v>
      </c>
      <c r="C228" s="2" t="s">
        <v>154</v>
      </c>
      <c r="D228" s="2" t="s">
        <v>11</v>
      </c>
      <c r="E228" s="2" t="s">
        <v>157</v>
      </c>
      <c r="F228" s="2" t="s">
        <v>157</v>
      </c>
      <c r="G228" s="2" t="s">
        <v>13</v>
      </c>
      <c r="H228" s="2">
        <v>0</v>
      </c>
    </row>
    <row r="229" spans="1:8">
      <c r="A229" s="2" t="s">
        <v>163</v>
      </c>
      <c r="B229" s="2" t="s">
        <v>92</v>
      </c>
      <c r="C229" s="2" t="s">
        <v>154</v>
      </c>
      <c r="D229" s="2" t="s">
        <v>11</v>
      </c>
      <c r="E229" s="2" t="s">
        <v>159</v>
      </c>
      <c r="F229" s="2" t="s">
        <v>160</v>
      </c>
      <c r="G229" s="2" t="s">
        <v>24</v>
      </c>
      <c r="H229" s="2">
        <v>0</v>
      </c>
    </row>
    <row r="230" spans="1:8">
      <c r="A230" s="2" t="s">
        <v>163</v>
      </c>
      <c r="B230" s="2" t="s">
        <v>92</v>
      </c>
      <c r="C230" s="2" t="s">
        <v>154</v>
      </c>
      <c r="D230" s="2" t="s">
        <v>11</v>
      </c>
      <c r="E230" s="2" t="s">
        <v>155</v>
      </c>
      <c r="F230" s="2" t="s">
        <v>155</v>
      </c>
      <c r="G230" s="2" t="s">
        <v>24</v>
      </c>
      <c r="H230" s="2">
        <v>0</v>
      </c>
    </row>
    <row r="231" spans="1:8">
      <c r="A231" s="2" t="s">
        <v>164</v>
      </c>
      <c r="B231" s="2" t="s">
        <v>92</v>
      </c>
      <c r="C231" s="2" t="s">
        <v>154</v>
      </c>
      <c r="D231" s="2" t="s">
        <v>11</v>
      </c>
      <c r="E231" s="2" t="s">
        <v>165</v>
      </c>
      <c r="F231" s="2" t="s">
        <v>31</v>
      </c>
      <c r="G231" s="2" t="s">
        <v>13</v>
      </c>
      <c r="H231" s="2">
        <v>0</v>
      </c>
    </row>
    <row r="232" spans="1:8">
      <c r="A232" s="2" t="s">
        <v>166</v>
      </c>
      <c r="B232" s="2" t="s">
        <v>26</v>
      </c>
      <c r="C232" s="2" t="s">
        <v>154</v>
      </c>
      <c r="D232" s="2" t="s">
        <v>11</v>
      </c>
      <c r="E232" s="2" t="s">
        <v>157</v>
      </c>
      <c r="F232" s="2" t="s">
        <v>157</v>
      </c>
      <c r="G232" s="2" t="s">
        <v>13</v>
      </c>
      <c r="H232" s="2">
        <v>0</v>
      </c>
    </row>
    <row r="233" spans="1:8">
      <c r="A233" s="2" t="s">
        <v>166</v>
      </c>
      <c r="B233" s="2" t="s">
        <v>26</v>
      </c>
      <c r="C233" s="2" t="s">
        <v>154</v>
      </c>
      <c r="D233" s="2" t="s">
        <v>11</v>
      </c>
      <c r="E233" s="2" t="s">
        <v>159</v>
      </c>
      <c r="F233" s="2" t="s">
        <v>160</v>
      </c>
      <c r="G233" s="2" t="s">
        <v>13</v>
      </c>
      <c r="H233" s="2">
        <v>0</v>
      </c>
    </row>
    <row r="234" spans="1:8">
      <c r="A234" s="2" t="s">
        <v>166</v>
      </c>
      <c r="B234" s="2" t="s">
        <v>26</v>
      </c>
      <c r="C234" s="2" t="s">
        <v>154</v>
      </c>
      <c r="D234" s="2" t="s">
        <v>11</v>
      </c>
      <c r="E234" s="2" t="s">
        <v>155</v>
      </c>
      <c r="F234" s="2" t="s">
        <v>155</v>
      </c>
      <c r="G234" s="2" t="s">
        <v>24</v>
      </c>
      <c r="H234" s="2">
        <v>0</v>
      </c>
    </row>
    <row r="235" spans="1:8">
      <c r="A235" s="2" t="s">
        <v>167</v>
      </c>
      <c r="B235" s="2" t="s">
        <v>26</v>
      </c>
      <c r="C235" s="2" t="s">
        <v>154</v>
      </c>
      <c r="D235" s="2" t="s">
        <v>11</v>
      </c>
      <c r="E235" s="2" t="s">
        <v>157</v>
      </c>
      <c r="F235" s="2" t="s">
        <v>157</v>
      </c>
      <c r="G235" s="2" t="s">
        <v>18</v>
      </c>
      <c r="H235" s="2">
        <v>0</v>
      </c>
    </row>
    <row r="236" spans="1:8">
      <c r="A236" s="2" t="s">
        <v>167</v>
      </c>
      <c r="B236" s="2" t="s">
        <v>26</v>
      </c>
      <c r="C236" s="2" t="s">
        <v>154</v>
      </c>
      <c r="D236" s="2" t="s">
        <v>11</v>
      </c>
      <c r="E236" s="2" t="s">
        <v>159</v>
      </c>
      <c r="F236" s="2" t="s">
        <v>160</v>
      </c>
      <c r="G236" s="2" t="s">
        <v>18</v>
      </c>
      <c r="H236" s="2">
        <v>0</v>
      </c>
    </row>
    <row r="237" spans="1:8">
      <c r="A237" s="2" t="s">
        <v>167</v>
      </c>
      <c r="B237" s="2" t="s">
        <v>26</v>
      </c>
      <c r="C237" s="2" t="s">
        <v>154</v>
      </c>
      <c r="D237" s="2" t="s">
        <v>11</v>
      </c>
      <c r="E237" s="2" t="s">
        <v>168</v>
      </c>
      <c r="F237" s="2" t="s">
        <v>168</v>
      </c>
      <c r="G237" s="2" t="s">
        <v>13</v>
      </c>
      <c r="H237" s="2">
        <v>0</v>
      </c>
    </row>
    <row r="238" spans="1:8">
      <c r="A238" s="2" t="s">
        <v>167</v>
      </c>
      <c r="B238" s="2" t="s">
        <v>26</v>
      </c>
      <c r="C238" s="2" t="s">
        <v>154</v>
      </c>
      <c r="D238" s="2" t="s">
        <v>11</v>
      </c>
      <c r="E238" s="2" t="s">
        <v>155</v>
      </c>
      <c r="F238" s="2" t="s">
        <v>155</v>
      </c>
      <c r="G238" s="2" t="s">
        <v>13</v>
      </c>
      <c r="H238" s="2">
        <v>0</v>
      </c>
    </row>
    <row r="239" spans="1:8">
      <c r="A239" s="2" t="s">
        <v>167</v>
      </c>
      <c r="B239" s="2" t="s">
        <v>26</v>
      </c>
      <c r="C239" s="2" t="s">
        <v>154</v>
      </c>
      <c r="D239" s="2" t="s">
        <v>11</v>
      </c>
      <c r="E239" s="2" t="s">
        <v>165</v>
      </c>
      <c r="F239" s="2" t="s">
        <v>31</v>
      </c>
      <c r="G239" s="2" t="s">
        <v>13</v>
      </c>
      <c r="H239" s="2">
        <v>0</v>
      </c>
    </row>
    <row r="240" spans="1:8">
      <c r="A240" s="2" t="s">
        <v>169</v>
      </c>
      <c r="B240" s="2" t="s">
        <v>26</v>
      </c>
      <c r="C240" s="2" t="s">
        <v>154</v>
      </c>
      <c r="D240" s="2" t="s">
        <v>11</v>
      </c>
      <c r="E240" s="2" t="s">
        <v>157</v>
      </c>
      <c r="F240" s="2" t="s">
        <v>157</v>
      </c>
      <c r="G240" s="2" t="s">
        <v>13</v>
      </c>
      <c r="H240" s="2">
        <v>0</v>
      </c>
    </row>
    <row r="241" spans="1:8">
      <c r="A241" s="2" t="s">
        <v>169</v>
      </c>
      <c r="B241" s="2" t="s">
        <v>26</v>
      </c>
      <c r="C241" s="2" t="s">
        <v>154</v>
      </c>
      <c r="D241" s="2" t="s">
        <v>11</v>
      </c>
      <c r="E241" s="2" t="s">
        <v>159</v>
      </c>
      <c r="F241" s="2" t="s">
        <v>160</v>
      </c>
      <c r="G241" s="2" t="s">
        <v>24</v>
      </c>
      <c r="H241" s="2">
        <v>0</v>
      </c>
    </row>
    <row r="242" spans="1:8">
      <c r="A242" s="2" t="s">
        <v>169</v>
      </c>
      <c r="B242" s="2" t="s">
        <v>26</v>
      </c>
      <c r="C242" s="2" t="s">
        <v>154</v>
      </c>
      <c r="D242" s="2" t="s">
        <v>11</v>
      </c>
      <c r="E242" s="2" t="s">
        <v>168</v>
      </c>
      <c r="F242" s="2" t="s">
        <v>168</v>
      </c>
      <c r="G242" s="2" t="s">
        <v>24</v>
      </c>
      <c r="H242" s="2">
        <v>0</v>
      </c>
    </row>
    <row r="243" spans="1:8">
      <c r="A243" s="2" t="s">
        <v>169</v>
      </c>
      <c r="B243" s="2" t="s">
        <v>26</v>
      </c>
      <c r="C243" s="2" t="s">
        <v>154</v>
      </c>
      <c r="D243" s="2" t="s">
        <v>11</v>
      </c>
      <c r="E243" s="2" t="s">
        <v>165</v>
      </c>
      <c r="F243" s="2" t="s">
        <v>31</v>
      </c>
      <c r="G243" s="2" t="s">
        <v>24</v>
      </c>
      <c r="H243" s="2">
        <v>0</v>
      </c>
    </row>
    <row r="244" spans="1:8">
      <c r="A244" s="2" t="s">
        <v>170</v>
      </c>
      <c r="B244" s="2" t="s">
        <v>26</v>
      </c>
      <c r="C244" s="2" t="s">
        <v>154</v>
      </c>
      <c r="D244" s="2" t="s">
        <v>11</v>
      </c>
      <c r="E244" s="2" t="s">
        <v>94</v>
      </c>
      <c r="F244" s="2" t="s">
        <v>95</v>
      </c>
      <c r="G244" s="2" t="s">
        <v>24</v>
      </c>
      <c r="H244" s="2">
        <v>0</v>
      </c>
    </row>
    <row r="245" spans="1:8">
      <c r="A245" s="2" t="s">
        <v>170</v>
      </c>
      <c r="B245" s="2" t="s">
        <v>26</v>
      </c>
      <c r="C245" s="2" t="s">
        <v>154</v>
      </c>
      <c r="D245" s="2" t="s">
        <v>11</v>
      </c>
      <c r="E245" s="2" t="s">
        <v>157</v>
      </c>
      <c r="F245" s="2" t="s">
        <v>157</v>
      </c>
      <c r="G245" s="2" t="s">
        <v>24</v>
      </c>
      <c r="H245" s="2">
        <v>0</v>
      </c>
    </row>
    <row r="246" spans="1:8">
      <c r="A246" s="2" t="s">
        <v>170</v>
      </c>
      <c r="B246" s="2" t="s">
        <v>26</v>
      </c>
      <c r="C246" s="2" t="s">
        <v>154</v>
      </c>
      <c r="D246" s="2" t="s">
        <v>11</v>
      </c>
      <c r="E246" s="2" t="s">
        <v>159</v>
      </c>
      <c r="F246" s="2" t="s">
        <v>160</v>
      </c>
      <c r="G246" s="2" t="s">
        <v>24</v>
      </c>
      <c r="H246" s="2">
        <v>0</v>
      </c>
    </row>
    <row r="247" spans="1:8">
      <c r="A247" s="2" t="s">
        <v>170</v>
      </c>
      <c r="B247" s="2" t="s">
        <v>26</v>
      </c>
      <c r="C247" s="2" t="s">
        <v>154</v>
      </c>
      <c r="D247" s="2" t="s">
        <v>11</v>
      </c>
      <c r="E247" s="2" t="s">
        <v>168</v>
      </c>
      <c r="F247" s="2" t="s">
        <v>168</v>
      </c>
      <c r="G247" s="2" t="s">
        <v>24</v>
      </c>
      <c r="H247" s="2">
        <v>0</v>
      </c>
    </row>
    <row r="248" spans="1:8">
      <c r="A248" s="2" t="s">
        <v>170</v>
      </c>
      <c r="B248" s="2" t="s">
        <v>26</v>
      </c>
      <c r="C248" s="2" t="s">
        <v>154</v>
      </c>
      <c r="D248" s="2" t="s">
        <v>11</v>
      </c>
      <c r="E248" s="2" t="s">
        <v>155</v>
      </c>
      <c r="F248" s="2" t="s">
        <v>155</v>
      </c>
      <c r="G248" s="2" t="s">
        <v>24</v>
      </c>
      <c r="H248" s="2">
        <v>0</v>
      </c>
    </row>
    <row r="249" spans="1:8">
      <c r="A249" s="2" t="s">
        <v>170</v>
      </c>
      <c r="B249" s="2" t="s">
        <v>26</v>
      </c>
      <c r="C249" s="2" t="s">
        <v>154</v>
      </c>
      <c r="D249" s="2" t="s">
        <v>11</v>
      </c>
      <c r="E249" s="2" t="s">
        <v>165</v>
      </c>
      <c r="F249" s="2" t="s">
        <v>31</v>
      </c>
      <c r="G249" s="2" t="s">
        <v>13</v>
      </c>
      <c r="H249" s="2">
        <v>0</v>
      </c>
    </row>
    <row r="250" spans="1:8">
      <c r="A250" s="2" t="s">
        <v>171</v>
      </c>
      <c r="B250" s="2" t="s">
        <v>26</v>
      </c>
      <c r="C250" s="2" t="s">
        <v>154</v>
      </c>
      <c r="D250" s="2" t="s">
        <v>11</v>
      </c>
      <c r="E250" s="2" t="s">
        <v>157</v>
      </c>
      <c r="F250" s="2" t="s">
        <v>157</v>
      </c>
      <c r="G250" s="2" t="s">
        <v>13</v>
      </c>
      <c r="H250" s="2">
        <v>0</v>
      </c>
    </row>
    <row r="251" spans="1:8">
      <c r="A251" s="2" t="s">
        <v>171</v>
      </c>
      <c r="B251" s="2" t="s">
        <v>26</v>
      </c>
      <c r="C251" s="2" t="s">
        <v>154</v>
      </c>
      <c r="D251" s="2" t="s">
        <v>11</v>
      </c>
      <c r="E251" s="2" t="s">
        <v>159</v>
      </c>
      <c r="F251" s="2" t="s">
        <v>160</v>
      </c>
      <c r="G251" s="2" t="s">
        <v>13</v>
      </c>
      <c r="H251" s="2">
        <v>0</v>
      </c>
    </row>
    <row r="252" spans="1:8">
      <c r="A252" s="2" t="s">
        <v>171</v>
      </c>
      <c r="B252" s="2" t="s">
        <v>26</v>
      </c>
      <c r="C252" s="2" t="s">
        <v>154</v>
      </c>
      <c r="D252" s="2" t="s">
        <v>11</v>
      </c>
      <c r="E252" s="2" t="s">
        <v>155</v>
      </c>
      <c r="F252" s="2" t="s">
        <v>155</v>
      </c>
      <c r="G252" s="2" t="s">
        <v>24</v>
      </c>
      <c r="H252" s="2">
        <v>0</v>
      </c>
    </row>
    <row r="253" spans="1:8">
      <c r="A253" s="2" t="s">
        <v>172</v>
      </c>
      <c r="B253" s="2" t="s">
        <v>26</v>
      </c>
      <c r="C253" s="2" t="s">
        <v>154</v>
      </c>
      <c r="D253" s="2" t="s">
        <v>11</v>
      </c>
      <c r="E253" s="2" t="s">
        <v>94</v>
      </c>
      <c r="F253" s="2" t="s">
        <v>95</v>
      </c>
      <c r="G253" s="2" t="s">
        <v>13</v>
      </c>
      <c r="H253" s="2">
        <v>0</v>
      </c>
    </row>
    <row r="254" spans="1:8">
      <c r="A254" s="2" t="s">
        <v>172</v>
      </c>
      <c r="B254" s="2" t="s">
        <v>26</v>
      </c>
      <c r="C254" s="2" t="s">
        <v>154</v>
      </c>
      <c r="D254" s="2" t="s">
        <v>11</v>
      </c>
      <c r="E254" s="2" t="s">
        <v>157</v>
      </c>
      <c r="F254" s="2" t="s">
        <v>157</v>
      </c>
      <c r="G254" s="2" t="s">
        <v>13</v>
      </c>
      <c r="H254" s="2">
        <v>0</v>
      </c>
    </row>
    <row r="255" spans="1:8">
      <c r="A255" s="2" t="s">
        <v>172</v>
      </c>
      <c r="B255" s="2" t="s">
        <v>26</v>
      </c>
      <c r="C255" s="2" t="s">
        <v>154</v>
      </c>
      <c r="D255" s="2" t="s">
        <v>11</v>
      </c>
      <c r="E255" s="2" t="s">
        <v>159</v>
      </c>
      <c r="F255" s="2" t="s">
        <v>160</v>
      </c>
      <c r="G255" s="2" t="s">
        <v>13</v>
      </c>
      <c r="H255" s="2">
        <v>0</v>
      </c>
    </row>
    <row r="256" spans="1:8">
      <c r="A256" s="2" t="s">
        <v>172</v>
      </c>
      <c r="B256" s="2" t="s">
        <v>26</v>
      </c>
      <c r="C256" s="2" t="s">
        <v>154</v>
      </c>
      <c r="D256" s="2" t="s">
        <v>11</v>
      </c>
      <c r="E256" s="2" t="s">
        <v>168</v>
      </c>
      <c r="F256" s="2" t="s">
        <v>168</v>
      </c>
      <c r="G256" s="2" t="s">
        <v>24</v>
      </c>
      <c r="H256" s="2">
        <v>0</v>
      </c>
    </row>
    <row r="257" spans="1:8">
      <c r="A257" s="2" t="s">
        <v>172</v>
      </c>
      <c r="B257" s="2" t="s">
        <v>26</v>
      </c>
      <c r="C257" s="2" t="s">
        <v>154</v>
      </c>
      <c r="D257" s="2" t="s">
        <v>11</v>
      </c>
      <c r="E257" s="2" t="s">
        <v>155</v>
      </c>
      <c r="F257" s="2" t="s">
        <v>155</v>
      </c>
      <c r="G257" s="2" t="s">
        <v>18</v>
      </c>
      <c r="H257" s="2">
        <v>0</v>
      </c>
    </row>
    <row r="258" spans="1:8">
      <c r="A258" s="2" t="s">
        <v>172</v>
      </c>
      <c r="B258" s="2" t="s">
        <v>26</v>
      </c>
      <c r="C258" s="2" t="s">
        <v>154</v>
      </c>
      <c r="D258" s="2" t="s">
        <v>11</v>
      </c>
      <c r="E258" s="2" t="s">
        <v>165</v>
      </c>
      <c r="F258" s="2" t="s">
        <v>31</v>
      </c>
      <c r="G258" s="2" t="s">
        <v>13</v>
      </c>
      <c r="H258" s="2">
        <v>0</v>
      </c>
    </row>
    <row r="259" spans="1:8">
      <c r="A259" s="2" t="s">
        <v>173</v>
      </c>
      <c r="B259" s="2" t="s">
        <v>26</v>
      </c>
      <c r="C259" s="2" t="s">
        <v>154</v>
      </c>
      <c r="D259" s="2" t="s">
        <v>11</v>
      </c>
      <c r="E259" s="2" t="s">
        <v>165</v>
      </c>
      <c r="F259" s="2" t="s">
        <v>31</v>
      </c>
      <c r="G259" s="2" t="s">
        <v>13</v>
      </c>
      <c r="H259" s="2">
        <v>0</v>
      </c>
    </row>
    <row r="260" spans="1:8">
      <c r="A260" s="2" t="s">
        <v>174</v>
      </c>
      <c r="B260" s="2" t="s">
        <v>26</v>
      </c>
      <c r="C260" s="2" t="s">
        <v>154</v>
      </c>
      <c r="D260" s="2" t="s">
        <v>11</v>
      </c>
      <c r="E260" s="2" t="s">
        <v>94</v>
      </c>
      <c r="F260" s="2" t="s">
        <v>95</v>
      </c>
      <c r="G260" s="2" t="s">
        <v>13</v>
      </c>
      <c r="H260" s="2">
        <v>0</v>
      </c>
    </row>
    <row r="261" spans="1:8">
      <c r="A261" s="2" t="s">
        <v>174</v>
      </c>
      <c r="B261" s="2" t="s">
        <v>26</v>
      </c>
      <c r="C261" s="2" t="s">
        <v>154</v>
      </c>
      <c r="D261" s="2" t="s">
        <v>11</v>
      </c>
      <c r="E261" s="2" t="s">
        <v>157</v>
      </c>
      <c r="F261" s="2" t="s">
        <v>157</v>
      </c>
      <c r="G261" s="2" t="s">
        <v>13</v>
      </c>
      <c r="H261" s="2">
        <v>0</v>
      </c>
    </row>
    <row r="262" spans="1:8">
      <c r="A262" s="2" t="s">
        <v>174</v>
      </c>
      <c r="B262" s="2" t="s">
        <v>26</v>
      </c>
      <c r="C262" s="2" t="s">
        <v>154</v>
      </c>
      <c r="D262" s="2" t="s">
        <v>11</v>
      </c>
      <c r="E262" s="2" t="s">
        <v>168</v>
      </c>
      <c r="F262" s="2" t="s">
        <v>168</v>
      </c>
      <c r="G262" s="2" t="s">
        <v>24</v>
      </c>
      <c r="H262" s="2">
        <v>0</v>
      </c>
    </row>
    <row r="263" spans="1:8">
      <c r="A263" s="2" t="s">
        <v>174</v>
      </c>
      <c r="B263" s="2" t="s">
        <v>26</v>
      </c>
      <c r="C263" s="2" t="s">
        <v>154</v>
      </c>
      <c r="D263" s="2" t="s">
        <v>11</v>
      </c>
      <c r="E263" s="2" t="s">
        <v>165</v>
      </c>
      <c r="F263" s="2" t="s">
        <v>31</v>
      </c>
      <c r="G263" s="2" t="s">
        <v>13</v>
      </c>
      <c r="H263" s="2">
        <v>0</v>
      </c>
    </row>
    <row r="264" spans="1:8">
      <c r="A264" s="2" t="s">
        <v>175</v>
      </c>
      <c r="B264" s="2" t="s">
        <v>26</v>
      </c>
      <c r="C264" s="2" t="s">
        <v>154</v>
      </c>
      <c r="D264" s="2" t="s">
        <v>11</v>
      </c>
      <c r="E264" s="2" t="s">
        <v>157</v>
      </c>
      <c r="F264" s="2" t="s">
        <v>157</v>
      </c>
      <c r="G264" s="2" t="s">
        <v>13</v>
      </c>
      <c r="H264" s="2">
        <v>0</v>
      </c>
    </row>
    <row r="265" spans="1:8">
      <c r="A265" s="2" t="s">
        <v>175</v>
      </c>
      <c r="B265" s="2" t="s">
        <v>26</v>
      </c>
      <c r="C265" s="2" t="s">
        <v>154</v>
      </c>
      <c r="D265" s="2" t="s">
        <v>11</v>
      </c>
      <c r="E265" s="2" t="s">
        <v>155</v>
      </c>
      <c r="F265" s="2" t="s">
        <v>155</v>
      </c>
      <c r="G265" s="2" t="s">
        <v>24</v>
      </c>
      <c r="H265" s="2">
        <v>0</v>
      </c>
    </row>
    <row r="266" spans="1:8">
      <c r="A266" s="2" t="s">
        <v>176</v>
      </c>
      <c r="B266" s="2" t="s">
        <v>26</v>
      </c>
      <c r="C266" s="2" t="s">
        <v>154</v>
      </c>
      <c r="D266" s="2" t="s">
        <v>11</v>
      </c>
      <c r="E266" s="2" t="s">
        <v>157</v>
      </c>
      <c r="F266" s="2" t="s">
        <v>157</v>
      </c>
      <c r="G266" s="2" t="s">
        <v>13</v>
      </c>
      <c r="H266" s="2">
        <v>0</v>
      </c>
    </row>
    <row r="267" spans="1:8">
      <c r="A267" s="2" t="s">
        <v>176</v>
      </c>
      <c r="B267" s="2" t="s">
        <v>26</v>
      </c>
      <c r="C267" s="2" t="s">
        <v>154</v>
      </c>
      <c r="D267" s="2" t="s">
        <v>11</v>
      </c>
      <c r="E267" s="2" t="s">
        <v>159</v>
      </c>
      <c r="F267" s="2" t="s">
        <v>160</v>
      </c>
      <c r="G267" s="2" t="s">
        <v>13</v>
      </c>
      <c r="H267" s="2">
        <v>0</v>
      </c>
    </row>
    <row r="268" spans="1:8">
      <c r="A268" s="2" t="s">
        <v>176</v>
      </c>
      <c r="B268" s="2" t="s">
        <v>26</v>
      </c>
      <c r="C268" s="2" t="s">
        <v>154</v>
      </c>
      <c r="D268" s="2" t="s">
        <v>11</v>
      </c>
      <c r="E268" s="2" t="s">
        <v>168</v>
      </c>
      <c r="F268" s="2" t="s">
        <v>168</v>
      </c>
      <c r="G268" s="2" t="s">
        <v>13</v>
      </c>
      <c r="H268" s="2">
        <v>0</v>
      </c>
    </row>
    <row r="269" spans="1:8">
      <c r="A269" s="2" t="s">
        <v>176</v>
      </c>
      <c r="B269" s="2" t="s">
        <v>26</v>
      </c>
      <c r="C269" s="2" t="s">
        <v>154</v>
      </c>
      <c r="D269" s="2" t="s">
        <v>11</v>
      </c>
      <c r="E269" s="2" t="s">
        <v>165</v>
      </c>
      <c r="F269" s="2" t="s">
        <v>31</v>
      </c>
      <c r="G269" s="2" t="s">
        <v>13</v>
      </c>
      <c r="H269" s="2">
        <v>0</v>
      </c>
    </row>
    <row r="270" spans="1:8">
      <c r="A270" s="2" t="s">
        <v>177</v>
      </c>
      <c r="B270" s="2" t="s">
        <v>26</v>
      </c>
      <c r="C270" s="2" t="s">
        <v>154</v>
      </c>
      <c r="D270" s="2" t="s">
        <v>11</v>
      </c>
      <c r="E270" s="2" t="s">
        <v>157</v>
      </c>
      <c r="F270" s="2" t="s">
        <v>157</v>
      </c>
      <c r="G270" s="2" t="s">
        <v>13</v>
      </c>
      <c r="H270" s="2">
        <v>0</v>
      </c>
    </row>
    <row r="271" spans="1:8">
      <c r="A271" s="2" t="s">
        <v>177</v>
      </c>
      <c r="B271" s="2" t="s">
        <v>26</v>
      </c>
      <c r="C271" s="2" t="s">
        <v>154</v>
      </c>
      <c r="D271" s="2" t="s">
        <v>11</v>
      </c>
      <c r="E271" s="2" t="s">
        <v>159</v>
      </c>
      <c r="F271" s="2" t="s">
        <v>160</v>
      </c>
      <c r="G271" s="2" t="s">
        <v>13</v>
      </c>
      <c r="H271" s="2">
        <v>0</v>
      </c>
    </row>
    <row r="272" spans="1:8">
      <c r="A272" s="2" t="s">
        <v>177</v>
      </c>
      <c r="B272" s="2" t="s">
        <v>26</v>
      </c>
      <c r="C272" s="2" t="s">
        <v>154</v>
      </c>
      <c r="D272" s="2" t="s">
        <v>11</v>
      </c>
      <c r="E272" s="2" t="s">
        <v>165</v>
      </c>
      <c r="F272" s="2" t="s">
        <v>31</v>
      </c>
      <c r="G272" s="2" t="s">
        <v>13</v>
      </c>
      <c r="H272" s="2">
        <v>0</v>
      </c>
    </row>
    <row r="273" spans="1:8">
      <c r="A273" s="2" t="s">
        <v>178</v>
      </c>
      <c r="B273" s="2" t="s">
        <v>26</v>
      </c>
      <c r="C273" s="2" t="s">
        <v>154</v>
      </c>
      <c r="D273" s="2" t="s">
        <v>11</v>
      </c>
      <c r="E273" s="2" t="s">
        <v>94</v>
      </c>
      <c r="F273" s="2" t="s">
        <v>95</v>
      </c>
      <c r="G273" s="2" t="s">
        <v>24</v>
      </c>
      <c r="H273" s="2">
        <v>0</v>
      </c>
    </row>
    <row r="274" spans="1:8">
      <c r="A274" s="2" t="s">
        <v>179</v>
      </c>
      <c r="B274" s="2" t="s">
        <v>26</v>
      </c>
      <c r="C274" s="2" t="s">
        <v>154</v>
      </c>
      <c r="D274" s="2" t="s">
        <v>11</v>
      </c>
      <c r="E274" s="2" t="s">
        <v>159</v>
      </c>
      <c r="F274" s="2" t="s">
        <v>160</v>
      </c>
      <c r="G274" s="2" t="s">
        <v>24</v>
      </c>
      <c r="H274" s="2">
        <v>0</v>
      </c>
    </row>
    <row r="275" spans="1:8">
      <c r="A275" s="2" t="s">
        <v>179</v>
      </c>
      <c r="B275" s="2" t="s">
        <v>26</v>
      </c>
      <c r="C275" s="2" t="s">
        <v>154</v>
      </c>
      <c r="D275" s="2" t="s">
        <v>11</v>
      </c>
      <c r="E275" s="2" t="s">
        <v>155</v>
      </c>
      <c r="F275" s="2" t="s">
        <v>155</v>
      </c>
      <c r="G275" s="2" t="s">
        <v>24</v>
      </c>
      <c r="H275" s="2">
        <v>0</v>
      </c>
    </row>
    <row r="276" spans="1:8">
      <c r="A276" s="2" t="s">
        <v>179</v>
      </c>
      <c r="B276" s="2" t="s">
        <v>26</v>
      </c>
      <c r="C276" s="2" t="s">
        <v>154</v>
      </c>
      <c r="D276" s="2" t="s">
        <v>11</v>
      </c>
      <c r="E276" s="2" t="s">
        <v>165</v>
      </c>
      <c r="F276" s="2" t="s">
        <v>31</v>
      </c>
      <c r="G276" s="2" t="s">
        <v>24</v>
      </c>
      <c r="H276" s="2">
        <v>0</v>
      </c>
    </row>
    <row r="277" spans="1:8">
      <c r="A277" s="2" t="s">
        <v>180</v>
      </c>
      <c r="B277" s="2" t="s">
        <v>26</v>
      </c>
      <c r="C277" s="2" t="s">
        <v>154</v>
      </c>
      <c r="D277" s="2" t="s">
        <v>11</v>
      </c>
      <c r="E277" s="2" t="s">
        <v>159</v>
      </c>
      <c r="F277" s="2" t="s">
        <v>160</v>
      </c>
      <c r="G277" s="2" t="s">
        <v>24</v>
      </c>
      <c r="H277" s="2">
        <v>0</v>
      </c>
    </row>
    <row r="278" spans="1:8">
      <c r="A278" s="2" t="s">
        <v>180</v>
      </c>
      <c r="B278" s="2" t="s">
        <v>26</v>
      </c>
      <c r="C278" s="2" t="s">
        <v>154</v>
      </c>
      <c r="D278" s="2" t="s">
        <v>11</v>
      </c>
      <c r="E278" s="2" t="s">
        <v>155</v>
      </c>
      <c r="F278" s="2" t="s">
        <v>155</v>
      </c>
      <c r="G278" s="2" t="s">
        <v>24</v>
      </c>
      <c r="H278" s="2">
        <v>0</v>
      </c>
    </row>
    <row r="279" spans="1:8">
      <c r="A279" s="2" t="s">
        <v>181</v>
      </c>
      <c r="B279" s="2" t="s">
        <v>26</v>
      </c>
      <c r="C279" s="2" t="s">
        <v>154</v>
      </c>
      <c r="D279" s="2" t="s">
        <v>11</v>
      </c>
      <c r="E279" s="2" t="s">
        <v>165</v>
      </c>
      <c r="F279" s="2" t="s">
        <v>31</v>
      </c>
      <c r="G279" s="2" t="s">
        <v>13</v>
      </c>
      <c r="H279" s="2">
        <v>0</v>
      </c>
    </row>
    <row r="280" spans="1:8">
      <c r="A280" s="2" t="s">
        <v>182</v>
      </c>
      <c r="B280" s="2" t="s">
        <v>26</v>
      </c>
      <c r="C280" s="2" t="s">
        <v>154</v>
      </c>
      <c r="D280" s="2" t="s">
        <v>11</v>
      </c>
      <c r="E280" s="2" t="s">
        <v>94</v>
      </c>
      <c r="F280" s="2" t="s">
        <v>95</v>
      </c>
      <c r="G280" s="2" t="s">
        <v>13</v>
      </c>
      <c r="H280" s="2">
        <v>0</v>
      </c>
    </row>
    <row r="281" spans="1:8">
      <c r="A281" s="2" t="s">
        <v>182</v>
      </c>
      <c r="B281" s="2" t="s">
        <v>26</v>
      </c>
      <c r="C281" s="2" t="s">
        <v>154</v>
      </c>
      <c r="D281" s="2" t="s">
        <v>11</v>
      </c>
      <c r="E281" s="2" t="s">
        <v>157</v>
      </c>
      <c r="F281" s="2" t="s">
        <v>157</v>
      </c>
      <c r="G281" s="2" t="s">
        <v>13</v>
      </c>
      <c r="H281" s="2">
        <v>0</v>
      </c>
    </row>
    <row r="282" spans="1:8">
      <c r="A282" s="2" t="s">
        <v>182</v>
      </c>
      <c r="B282" s="2" t="s">
        <v>26</v>
      </c>
      <c r="C282" s="2" t="s">
        <v>154</v>
      </c>
      <c r="D282" s="2" t="s">
        <v>11</v>
      </c>
      <c r="E282" s="2" t="s">
        <v>168</v>
      </c>
      <c r="F282" s="2" t="s">
        <v>168</v>
      </c>
      <c r="G282" s="2" t="s">
        <v>24</v>
      </c>
      <c r="H282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5"/>
  <sheetViews>
    <sheetView tabSelected="1" workbookViewId="0"/>
  </sheetViews>
  <sheetFormatPr defaultRowHeight="15"/>
  <cols>
    <col min="1" max="2" width="18.7109375" customWidth="1"/>
    <col min="3" max="8" width="15.7109375" customWidth="1"/>
  </cols>
  <sheetData>
    <row r="1" spans="1:7">
      <c r="A1" s="3" t="s">
        <v>183</v>
      </c>
      <c r="B1" s="3"/>
      <c r="C1" s="3"/>
      <c r="D1" s="3"/>
      <c r="E1" s="3"/>
      <c r="F1" s="3"/>
      <c r="G1" s="3"/>
    </row>
    <row r="2" spans="1:7">
      <c r="A2" s="4" t="s">
        <v>184</v>
      </c>
      <c r="B2" s="4"/>
      <c r="C2" s="4"/>
      <c r="D2" s="4"/>
      <c r="E2" s="4"/>
      <c r="F2" s="4"/>
      <c r="G2" s="4"/>
    </row>
    <row r="3" spans="1:7">
      <c r="A3" s="5" t="s">
        <v>185</v>
      </c>
      <c r="B3" s="5"/>
      <c r="C3" s="5"/>
      <c r="D3" s="5"/>
      <c r="E3" s="5"/>
      <c r="F3" s="5"/>
      <c r="G3" s="5"/>
    </row>
    <row r="5" spans="1:7">
      <c r="A5" s="6" t="s">
        <v>238</v>
      </c>
      <c r="B5" s="6"/>
      <c r="C5" s="6"/>
      <c r="D5" s="6"/>
      <c r="E5" s="6"/>
    </row>
    <row r="6" spans="1:7">
      <c r="A6" s="1" t="s">
        <v>239</v>
      </c>
      <c r="B6" s="1" t="s">
        <v>240</v>
      </c>
      <c r="C6" s="1" t="s">
        <v>241</v>
      </c>
      <c r="D6" s="1" t="s">
        <v>242</v>
      </c>
      <c r="E6" s="1" t="s">
        <v>243</v>
      </c>
    </row>
    <row r="7" spans="1:7">
      <c r="A7" s="7">
        <v>88</v>
      </c>
      <c r="B7" s="8">
        <v>13</v>
      </c>
      <c r="C7" s="9">
        <v>75</v>
      </c>
      <c r="D7" s="10">
        <v>14.77272727272727</v>
      </c>
      <c r="E7" s="10">
        <v>85.22727272727272</v>
      </c>
    </row>
    <row r="11" spans="1:7">
      <c r="A11" s="6" t="s">
        <v>244</v>
      </c>
      <c r="B11" s="6"/>
      <c r="C11" s="6"/>
      <c r="D11" s="6"/>
      <c r="E11" s="6"/>
      <c r="F11" s="6"/>
    </row>
    <row r="12" spans="1:7">
      <c r="A12" s="1" t="s">
        <v>245</v>
      </c>
      <c r="B12" s="1" t="s">
        <v>246</v>
      </c>
      <c r="C12" s="1" t="s">
        <v>247</v>
      </c>
      <c r="D12" s="1" t="s">
        <v>248</v>
      </c>
      <c r="E12" s="1" t="s">
        <v>249</v>
      </c>
      <c r="F12" s="1" t="s">
        <v>250</v>
      </c>
    </row>
    <row r="13" spans="1:7">
      <c r="A13" s="7" t="s">
        <v>134</v>
      </c>
      <c r="B13" s="7">
        <v>7</v>
      </c>
      <c r="C13" s="8">
        <v>1</v>
      </c>
      <c r="D13" s="9">
        <v>6</v>
      </c>
      <c r="E13" s="11">
        <v>14.28571428571428</v>
      </c>
      <c r="F13" s="11">
        <v>85.71428571428572</v>
      </c>
    </row>
    <row r="14" spans="1:7">
      <c r="A14" s="12" t="s">
        <v>10</v>
      </c>
      <c r="B14" s="12">
        <v>48</v>
      </c>
      <c r="C14" s="8">
        <v>11</v>
      </c>
      <c r="D14" s="9">
        <v>37</v>
      </c>
      <c r="E14" s="13">
        <v>22.91666666666666</v>
      </c>
      <c r="F14" s="13">
        <v>77.08333333333334</v>
      </c>
    </row>
    <row r="15" spans="1:7">
      <c r="A15" s="7" t="s">
        <v>86</v>
      </c>
      <c r="B15" s="7">
        <v>7</v>
      </c>
      <c r="C15" s="8">
        <v>0</v>
      </c>
      <c r="D15" s="9">
        <v>7</v>
      </c>
      <c r="E15" s="11">
        <v>0</v>
      </c>
      <c r="F15" s="11">
        <v>100</v>
      </c>
    </row>
    <row r="16" spans="1:7">
      <c r="A16" s="12" t="s">
        <v>108</v>
      </c>
      <c r="B16" s="12">
        <v>10</v>
      </c>
      <c r="C16" s="8">
        <v>1</v>
      </c>
      <c r="D16" s="9">
        <v>9</v>
      </c>
      <c r="E16" s="13">
        <v>10</v>
      </c>
      <c r="F16" s="13">
        <v>90</v>
      </c>
    </row>
    <row r="17" spans="1:8">
      <c r="A17" s="7" t="s">
        <v>154</v>
      </c>
      <c r="B17" s="7">
        <v>16</v>
      </c>
      <c r="C17" s="8">
        <v>0</v>
      </c>
      <c r="D17" s="9">
        <v>16</v>
      </c>
      <c r="E17" s="11">
        <v>0</v>
      </c>
      <c r="F17" s="11">
        <v>100</v>
      </c>
    </row>
    <row r="20" spans="1:8">
      <c r="A20" s="6" t="s">
        <v>251</v>
      </c>
      <c r="B20" s="6"/>
      <c r="C20" s="6"/>
      <c r="D20" s="6"/>
      <c r="E20" s="6"/>
      <c r="F20" s="6"/>
      <c r="G20" s="6"/>
      <c r="H20" s="6"/>
    </row>
    <row r="21" spans="1:8">
      <c r="A21" s="14" t="s">
        <v>252</v>
      </c>
      <c r="B21" s="14" t="s">
        <v>253</v>
      </c>
      <c r="C21" s="14" t="s">
        <v>254</v>
      </c>
      <c r="D21" s="14" t="s">
        <v>249</v>
      </c>
      <c r="E21" s="14" t="s">
        <v>250</v>
      </c>
      <c r="F21" s="14" t="s">
        <v>255</v>
      </c>
      <c r="G21" s="14" t="s">
        <v>256</v>
      </c>
      <c r="H21" s="14" t="s">
        <v>257</v>
      </c>
    </row>
    <row r="22" spans="1:8">
      <c r="A22" s="7">
        <v>1</v>
      </c>
      <c r="B22" s="7" t="s">
        <v>17</v>
      </c>
      <c r="C22" s="7" t="s">
        <v>10</v>
      </c>
      <c r="D22" s="10">
        <v>60</v>
      </c>
      <c r="E22" s="10">
        <v>40</v>
      </c>
      <c r="F22" s="7">
        <v>10</v>
      </c>
      <c r="G22" s="8">
        <v>6</v>
      </c>
      <c r="H22" s="9">
        <v>4</v>
      </c>
    </row>
    <row r="23" spans="1:8">
      <c r="A23" s="12">
        <v>2</v>
      </c>
      <c r="B23" s="12" t="s">
        <v>30</v>
      </c>
      <c r="C23" s="12" t="s">
        <v>10</v>
      </c>
      <c r="D23" s="15">
        <v>38.46153846153847</v>
      </c>
      <c r="E23" s="15">
        <v>61.53846153846153</v>
      </c>
      <c r="F23" s="12">
        <v>26</v>
      </c>
      <c r="G23" s="8">
        <v>10</v>
      </c>
      <c r="H23" s="9">
        <v>16</v>
      </c>
    </row>
    <row r="24" spans="1:8">
      <c r="A24" s="7">
        <v>3</v>
      </c>
      <c r="B24" s="7" t="s">
        <v>27</v>
      </c>
      <c r="C24" s="7" t="s">
        <v>10</v>
      </c>
      <c r="D24" s="10">
        <v>26.82926829268293</v>
      </c>
      <c r="E24" s="10">
        <v>73.17073170731707</v>
      </c>
      <c r="F24" s="7">
        <v>41</v>
      </c>
      <c r="G24" s="8">
        <v>11</v>
      </c>
      <c r="H24" s="9">
        <v>30</v>
      </c>
    </row>
    <row r="25" spans="1:8">
      <c r="A25" s="12">
        <v>4</v>
      </c>
      <c r="B25" s="12" t="s">
        <v>15</v>
      </c>
      <c r="C25" s="12" t="s">
        <v>10</v>
      </c>
      <c r="D25" s="15">
        <v>21.05263157894737</v>
      </c>
      <c r="E25" s="15">
        <v>78.94736842105263</v>
      </c>
      <c r="F25" s="12">
        <v>19</v>
      </c>
      <c r="G25" s="8">
        <v>4</v>
      </c>
      <c r="H25" s="9">
        <v>15</v>
      </c>
    </row>
    <row r="26" spans="1:8">
      <c r="A26" s="7">
        <v>5</v>
      </c>
      <c r="B26" s="7" t="s">
        <v>122</v>
      </c>
      <c r="C26" s="7" t="s">
        <v>108</v>
      </c>
      <c r="D26" s="10">
        <v>20</v>
      </c>
      <c r="E26" s="10">
        <v>80</v>
      </c>
      <c r="F26" s="7">
        <v>10</v>
      </c>
      <c r="G26" s="8">
        <v>2</v>
      </c>
      <c r="H26" s="9">
        <v>8</v>
      </c>
    </row>
    <row r="29" spans="1:8">
      <c r="A29" s="6" t="s">
        <v>258</v>
      </c>
      <c r="B29" s="6"/>
      <c r="C29" s="6"/>
      <c r="D29" s="6"/>
      <c r="E29" s="6"/>
      <c r="F29" s="6"/>
      <c r="G29" s="6"/>
      <c r="H29" s="6"/>
    </row>
    <row r="30" spans="1:8">
      <c r="A30" s="14" t="s">
        <v>252</v>
      </c>
      <c r="B30" s="14" t="s">
        <v>253</v>
      </c>
      <c r="C30" s="14" t="s">
        <v>254</v>
      </c>
      <c r="D30" s="14" t="s">
        <v>249</v>
      </c>
      <c r="E30" s="14" t="s">
        <v>250</v>
      </c>
      <c r="F30" s="14" t="s">
        <v>255</v>
      </c>
      <c r="G30" s="14" t="s">
        <v>256</v>
      </c>
      <c r="H30" s="14" t="s">
        <v>257</v>
      </c>
    </row>
    <row r="31" spans="1:8">
      <c r="A31" s="7">
        <v>1</v>
      </c>
      <c r="B31" s="7" t="s">
        <v>165</v>
      </c>
      <c r="C31" s="7" t="s">
        <v>154</v>
      </c>
      <c r="D31" s="10">
        <v>0</v>
      </c>
      <c r="E31" s="10">
        <v>100</v>
      </c>
      <c r="F31" s="7">
        <v>10</v>
      </c>
      <c r="G31" s="8">
        <v>0</v>
      </c>
      <c r="H31" s="9">
        <v>10</v>
      </c>
    </row>
    <row r="32" spans="1:8">
      <c r="A32" s="12">
        <v>2</v>
      </c>
      <c r="B32" s="12" t="s">
        <v>157</v>
      </c>
      <c r="C32" s="12" t="s">
        <v>154</v>
      </c>
      <c r="D32" s="15">
        <v>9.090909090909092</v>
      </c>
      <c r="E32" s="15">
        <v>90.90909090909091</v>
      </c>
      <c r="F32" s="12">
        <v>11</v>
      </c>
      <c r="G32" s="8">
        <v>1</v>
      </c>
      <c r="H32" s="9">
        <v>10</v>
      </c>
    </row>
    <row r="33" spans="1:8">
      <c r="A33" s="7">
        <v>3</v>
      </c>
      <c r="B33" s="7" t="s">
        <v>159</v>
      </c>
      <c r="C33" s="7" t="s">
        <v>154</v>
      </c>
      <c r="D33" s="10">
        <v>10</v>
      </c>
      <c r="E33" s="10">
        <v>90</v>
      </c>
      <c r="F33" s="7">
        <v>10</v>
      </c>
      <c r="G33" s="8">
        <v>1</v>
      </c>
      <c r="H33" s="9">
        <v>9</v>
      </c>
    </row>
    <row r="34" spans="1:8">
      <c r="A34" s="12">
        <v>4</v>
      </c>
      <c r="B34" s="12" t="s">
        <v>32</v>
      </c>
      <c r="C34" s="12" t="s">
        <v>10</v>
      </c>
      <c r="D34" s="15">
        <v>14.28571428571428</v>
      </c>
      <c r="E34" s="15">
        <v>85.71428571428572</v>
      </c>
      <c r="F34" s="12">
        <v>14</v>
      </c>
      <c r="G34" s="8">
        <v>2</v>
      </c>
      <c r="H34" s="9">
        <v>12</v>
      </c>
    </row>
    <row r="35" spans="1:8">
      <c r="A35" s="7">
        <v>5</v>
      </c>
      <c r="B35" s="7" t="s">
        <v>122</v>
      </c>
      <c r="C35" s="7" t="s">
        <v>108</v>
      </c>
      <c r="D35" s="10">
        <v>20</v>
      </c>
      <c r="E35" s="10">
        <v>80</v>
      </c>
      <c r="F35" s="7">
        <v>10</v>
      </c>
      <c r="G35" s="8">
        <v>2</v>
      </c>
      <c r="H35" s="9">
        <v>8</v>
      </c>
    </row>
  </sheetData>
  <mergeCells count="7">
    <mergeCell ref="A1:G1"/>
    <mergeCell ref="A2:G2"/>
    <mergeCell ref="A3:G3"/>
    <mergeCell ref="A5:E5"/>
    <mergeCell ref="A11:F11"/>
    <mergeCell ref="A20:H20"/>
    <mergeCell ref="A29:H29"/>
  </mergeCells>
  <conditionalFormatting sqref="D22:D26">
    <cfRule type="cellIs" dxfId="0" priority="1" operator="lessThan">
      <formula>40</formula>
    </cfRule>
  </conditionalFormatting>
  <conditionalFormatting sqref="D31:D35">
    <cfRule type="cellIs" dxfId="0" priority="2" operator="lessThan">
      <formula>40</formula>
    </cfRule>
  </conditionalFormatting>
  <conditionalFormatting sqref="E13:E17">
    <cfRule type="cellIs" dxfId="0" priority="3" operator="lessThan">
      <formula>40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6" width="15.7109375" customWidth="1"/>
  </cols>
  <sheetData>
    <row r="1" spans="1:17">
      <c r="A1" s="3" t="s">
        <v>259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184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185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6" t="s">
        <v>260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spans="1:17">
      <c r="A5" s="17" t="s">
        <v>261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</row>
    <row r="7" spans="1:17">
      <c r="A7" s="6" t="s">
        <v>262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spans="1:17">
      <c r="A8" s="18" t="s">
        <v>263</v>
      </c>
      <c r="B8" s="19" t="s">
        <v>254</v>
      </c>
    </row>
    <row r="10" spans="1:17">
      <c r="B10" s="20" t="s">
        <v>187</v>
      </c>
      <c r="C10" s="20"/>
      <c r="D10" s="20" t="s">
        <v>188</v>
      </c>
      <c r="E10" s="20"/>
      <c r="F10" s="20"/>
      <c r="G10" s="20" t="s">
        <v>189</v>
      </c>
      <c r="H10" s="20"/>
      <c r="I10" s="20" t="s">
        <v>264</v>
      </c>
      <c r="J10" s="20"/>
      <c r="K10" s="20" t="s">
        <v>265</v>
      </c>
      <c r="L10" s="20"/>
    </row>
    <row r="11" spans="1:17">
      <c r="B11" s="21">
        <f>IFERROR(VLOOKUP("CE_" &amp; UPPER($B$8), _DATA_!$A$2:$AZ$38, 2, FALSE), 0)</f>
        <v>0</v>
      </c>
      <c r="C11" s="21"/>
      <c r="D11" s="22">
        <f>IFERROR(VLOOKUP("CE_" &amp; UPPER($B$8), _DATA_!$A$2:$AZ$38, 3, FALSE), 0)</f>
        <v>0</v>
      </c>
      <c r="E11" s="22"/>
      <c r="F11" s="22"/>
      <c r="G11" s="23">
        <f>IFERROR(VLOOKUP("CE_" &amp; UPPER($B$8), _DATA_!$A$2:$AZ$38, 4, FALSE), 0)</f>
        <v>0</v>
      </c>
      <c r="H11" s="23"/>
      <c r="I11" s="24">
        <f>IFERROR(VLOOKUP("CE_" &amp; UPPER($B$8), _DATA_!$A$2:$AZ$38, 5, FALSE), 0)</f>
        <v>0</v>
      </c>
      <c r="J11" s="24"/>
      <c r="K11" s="24">
        <f>IFERROR(VLOOKUP("CE_" &amp; UPPER($B$8), _DATA_!$A$2:$AZ$38, 6, FALSE), 0)</f>
        <v>0</v>
      </c>
      <c r="L11" s="24"/>
    </row>
    <row r="12" spans="1:17">
      <c r="B12" s="21"/>
      <c r="C12" s="21"/>
      <c r="D12" s="22"/>
      <c r="E12" s="22"/>
      <c r="F12" s="22"/>
      <c r="G12" s="23"/>
      <c r="H12" s="23"/>
      <c r="I12" s="24"/>
      <c r="J12" s="24"/>
      <c r="K12" s="24"/>
      <c r="L12" s="24"/>
    </row>
    <row r="32" spans="1:7">
      <c r="A32" s="6" t="s">
        <v>266</v>
      </c>
      <c r="B32" s="6"/>
      <c r="C32" s="6"/>
      <c r="D32" s="6"/>
      <c r="E32" s="6"/>
      <c r="F32" s="6"/>
      <c r="G32" s="6"/>
    </row>
    <row r="33" spans="1:8">
      <c r="A33" s="1" t="s">
        <v>0</v>
      </c>
      <c r="B33" s="1" t="s">
        <v>135</v>
      </c>
      <c r="C33" s="1" t="s">
        <v>138</v>
      </c>
      <c r="D33" s="1" t="s">
        <v>139</v>
      </c>
      <c r="E33" s="1" t="s">
        <v>27</v>
      </c>
      <c r="F33" s="1" t="s">
        <v>267</v>
      </c>
      <c r="G33" s="1" t="s">
        <v>7</v>
      </c>
    </row>
    <row r="34" spans="1:8">
      <c r="A34" s="7" t="s">
        <v>133</v>
      </c>
      <c r="B34" s="7" t="s">
        <v>18</v>
      </c>
      <c r="C34" s="7" t="s">
        <v>202</v>
      </c>
      <c r="D34" s="7" t="s">
        <v>202</v>
      </c>
      <c r="E34" s="7" t="s">
        <v>202</v>
      </c>
      <c r="F34" s="7">
        <v>0</v>
      </c>
      <c r="G34" s="25">
        <v>5.5</v>
      </c>
    </row>
    <row r="35" spans="1:8">
      <c r="A35" s="12" t="s">
        <v>137</v>
      </c>
      <c r="B35" s="12" t="s">
        <v>13</v>
      </c>
      <c r="C35" s="12" t="s">
        <v>13</v>
      </c>
      <c r="D35" s="12" t="s">
        <v>18</v>
      </c>
      <c r="E35" s="12" t="s">
        <v>13</v>
      </c>
      <c r="F35" s="12">
        <v>3</v>
      </c>
      <c r="G35" s="26">
        <v>0</v>
      </c>
    </row>
    <row r="40" spans="1:8">
      <c r="A40" s="6" t="s">
        <v>268</v>
      </c>
      <c r="B40" s="6"/>
      <c r="C40" s="6"/>
      <c r="D40" s="6"/>
      <c r="E40" s="6"/>
      <c r="F40" s="6"/>
      <c r="G40" s="6"/>
      <c r="H40" s="6"/>
    </row>
    <row r="41" spans="1:8">
      <c r="A41" s="1" t="s">
        <v>0</v>
      </c>
      <c r="B41" s="1" t="s">
        <v>135</v>
      </c>
      <c r="C41" s="1" t="s">
        <v>138</v>
      </c>
      <c r="D41" s="1" t="s">
        <v>139</v>
      </c>
      <c r="E41" s="1" t="s">
        <v>144</v>
      </c>
      <c r="F41" s="1" t="s">
        <v>27</v>
      </c>
      <c r="G41" s="1" t="s">
        <v>267</v>
      </c>
      <c r="H41" s="1" t="s">
        <v>7</v>
      </c>
    </row>
    <row r="42" spans="1:8">
      <c r="A42" s="7" t="s">
        <v>141</v>
      </c>
      <c r="B42" s="7" t="s">
        <v>24</v>
      </c>
      <c r="C42" s="7" t="s">
        <v>13</v>
      </c>
      <c r="D42" s="7" t="s">
        <v>202</v>
      </c>
      <c r="E42" s="7" t="s">
        <v>202</v>
      </c>
      <c r="F42" s="7" t="s">
        <v>202</v>
      </c>
      <c r="G42" s="7">
        <v>2</v>
      </c>
      <c r="H42" s="25">
        <v>0</v>
      </c>
    </row>
    <row r="43" spans="1:8">
      <c r="A43" s="12" t="s">
        <v>142</v>
      </c>
      <c r="B43" s="12" t="s">
        <v>24</v>
      </c>
      <c r="C43" s="12" t="s">
        <v>202</v>
      </c>
      <c r="D43" s="12" t="s">
        <v>59</v>
      </c>
      <c r="E43" s="12" t="s">
        <v>202</v>
      </c>
      <c r="F43" s="12" t="s">
        <v>24</v>
      </c>
      <c r="G43" s="12">
        <v>2</v>
      </c>
      <c r="H43" s="26">
        <v>0</v>
      </c>
    </row>
    <row r="44" spans="1:8">
      <c r="A44" s="7" t="s">
        <v>143</v>
      </c>
      <c r="B44" s="7" t="s">
        <v>24</v>
      </c>
      <c r="C44" s="7" t="s">
        <v>202</v>
      </c>
      <c r="D44" s="7" t="s">
        <v>202</v>
      </c>
      <c r="E44" s="7" t="s">
        <v>24</v>
      </c>
      <c r="F44" s="7" t="s">
        <v>13</v>
      </c>
      <c r="G44" s="7">
        <v>3</v>
      </c>
      <c r="H44" s="25">
        <v>0</v>
      </c>
    </row>
    <row r="49" spans="1:7">
      <c r="A49" s="6" t="s">
        <v>269</v>
      </c>
      <c r="B49" s="6"/>
      <c r="C49" s="6"/>
      <c r="D49" s="6"/>
      <c r="E49" s="6"/>
      <c r="F49" s="6"/>
      <c r="G49" s="6"/>
    </row>
    <row r="50" spans="1:7">
      <c r="A50" s="1" t="s">
        <v>0</v>
      </c>
      <c r="B50" s="1" t="s">
        <v>139</v>
      </c>
      <c r="C50" s="1" t="s">
        <v>147</v>
      </c>
      <c r="D50" s="1" t="s">
        <v>144</v>
      </c>
      <c r="E50" s="1" t="s">
        <v>27</v>
      </c>
      <c r="F50" s="1" t="s">
        <v>267</v>
      </c>
      <c r="G50" s="1" t="s">
        <v>7</v>
      </c>
    </row>
    <row r="51" spans="1:7">
      <c r="A51" s="7" t="s">
        <v>145</v>
      </c>
      <c r="B51" s="7" t="s">
        <v>202</v>
      </c>
      <c r="C51" s="7" t="s">
        <v>202</v>
      </c>
      <c r="D51" s="7" t="s">
        <v>202</v>
      </c>
      <c r="E51" s="7" t="s">
        <v>13</v>
      </c>
      <c r="F51" s="7">
        <v>1</v>
      </c>
      <c r="G51" s="25">
        <v>0</v>
      </c>
    </row>
    <row r="52" spans="1:7">
      <c r="A52" s="12" t="s">
        <v>146</v>
      </c>
      <c r="B52" s="12" t="s">
        <v>202</v>
      </c>
      <c r="C52" s="12" t="s">
        <v>13</v>
      </c>
      <c r="D52" s="12" t="s">
        <v>202</v>
      </c>
      <c r="E52" s="12" t="s">
        <v>202</v>
      </c>
      <c r="F52" s="12">
        <v>1</v>
      </c>
      <c r="G52" s="26">
        <v>0</v>
      </c>
    </row>
    <row r="53" spans="1:7">
      <c r="A53" s="7" t="s">
        <v>148</v>
      </c>
      <c r="B53" s="7" t="s">
        <v>202</v>
      </c>
      <c r="C53" s="7" t="s">
        <v>13</v>
      </c>
      <c r="D53" s="7" t="s">
        <v>202</v>
      </c>
      <c r="E53" s="7" t="s">
        <v>202</v>
      </c>
      <c r="F53" s="7">
        <v>1</v>
      </c>
      <c r="G53" s="25">
        <v>0</v>
      </c>
    </row>
    <row r="54" spans="1:7">
      <c r="A54" s="12" t="s">
        <v>149</v>
      </c>
      <c r="B54" s="12" t="s">
        <v>202</v>
      </c>
      <c r="C54" s="12" t="s">
        <v>18</v>
      </c>
      <c r="D54" s="12" t="s">
        <v>202</v>
      </c>
      <c r="E54" s="12" t="s">
        <v>13</v>
      </c>
      <c r="F54" s="12">
        <v>1</v>
      </c>
      <c r="G54" s="26">
        <v>0</v>
      </c>
    </row>
    <row r="55" spans="1:7">
      <c r="A55" s="7" t="s">
        <v>150</v>
      </c>
      <c r="B55" s="7" t="s">
        <v>24</v>
      </c>
      <c r="C55" s="7" t="s">
        <v>202</v>
      </c>
      <c r="D55" s="7" t="s">
        <v>202</v>
      </c>
      <c r="E55" s="7" t="s">
        <v>18</v>
      </c>
      <c r="F55" s="7">
        <v>1</v>
      </c>
      <c r="G55" s="25">
        <v>0</v>
      </c>
    </row>
    <row r="56" spans="1:7">
      <c r="A56" s="12" t="s">
        <v>151</v>
      </c>
      <c r="B56" s="12" t="s">
        <v>202</v>
      </c>
      <c r="C56" s="12" t="s">
        <v>18</v>
      </c>
      <c r="D56" s="12" t="s">
        <v>18</v>
      </c>
      <c r="E56" s="12" t="s">
        <v>59</v>
      </c>
      <c r="F56" s="12">
        <v>0</v>
      </c>
      <c r="G56" s="26">
        <v>5.93</v>
      </c>
    </row>
    <row r="57" spans="1:7">
      <c r="A57" s="7" t="s">
        <v>152</v>
      </c>
      <c r="B57" s="7" t="s">
        <v>24</v>
      </c>
      <c r="C57" s="7" t="s">
        <v>202</v>
      </c>
      <c r="D57" s="7" t="s">
        <v>202</v>
      </c>
      <c r="E57" s="7" t="s">
        <v>202</v>
      </c>
      <c r="F57" s="7">
        <v>1</v>
      </c>
      <c r="G57" s="25">
        <v>0</v>
      </c>
    </row>
    <row r="62" spans="1:7">
      <c r="A62" s="6" t="s">
        <v>270</v>
      </c>
      <c r="B62" s="6"/>
      <c r="C62" s="6"/>
      <c r="D62" s="6"/>
      <c r="E62" s="6"/>
      <c r="F62" s="6"/>
    </row>
    <row r="63" spans="1:7">
      <c r="A63" s="1" t="s">
        <v>271</v>
      </c>
      <c r="B63" s="1" t="s">
        <v>255</v>
      </c>
      <c r="C63" s="1" t="s">
        <v>247</v>
      </c>
      <c r="D63" s="1" t="s">
        <v>248</v>
      </c>
      <c r="E63" s="1" t="s">
        <v>249</v>
      </c>
      <c r="F63" s="1" t="s">
        <v>250</v>
      </c>
    </row>
    <row r="64" spans="1:7">
      <c r="A64" s="7" t="s">
        <v>26</v>
      </c>
      <c r="B64" s="7">
        <v>7</v>
      </c>
      <c r="C64" s="7">
        <v>1</v>
      </c>
      <c r="D64" s="7">
        <v>6</v>
      </c>
      <c r="E64" s="27">
        <v>14.28571428571428</v>
      </c>
      <c r="F64" s="27">
        <v>85.71428571428572</v>
      </c>
    </row>
    <row r="68" spans="1:19">
      <c r="A68" s="6" t="s">
        <v>272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</row>
    <row r="69" spans="1:19">
      <c r="A69" s="1" t="s">
        <v>273</v>
      </c>
      <c r="B69" s="1" t="s">
        <v>5</v>
      </c>
      <c r="C69" s="1" t="s">
        <v>274</v>
      </c>
      <c r="D69" s="1" t="s">
        <v>275</v>
      </c>
      <c r="E69" s="1" t="s">
        <v>256</v>
      </c>
      <c r="F69" s="1" t="s">
        <v>257</v>
      </c>
      <c r="G69" s="1" t="s">
        <v>192</v>
      </c>
      <c r="H69" s="1" t="s">
        <v>193</v>
      </c>
      <c r="I69" s="1" t="s">
        <v>194</v>
      </c>
      <c r="J69" s="1" t="s">
        <v>195</v>
      </c>
      <c r="K69" s="1" t="s">
        <v>83</v>
      </c>
      <c r="L69" s="1" t="s">
        <v>74</v>
      </c>
      <c r="M69" s="1" t="s">
        <v>59</v>
      </c>
      <c r="N69" s="1" t="s">
        <v>49</v>
      </c>
      <c r="O69" s="1" t="s">
        <v>18</v>
      </c>
      <c r="P69" s="1" t="s">
        <v>13</v>
      </c>
      <c r="Q69" s="1" t="s">
        <v>197</v>
      </c>
      <c r="R69" s="1" t="s">
        <v>198</v>
      </c>
      <c r="S69" s="1" t="s">
        <v>199</v>
      </c>
    </row>
    <row r="70" spans="1:19">
      <c r="A70" s="7" t="s">
        <v>139</v>
      </c>
      <c r="B70" s="7" t="s">
        <v>140</v>
      </c>
      <c r="C70" s="28">
        <v>0</v>
      </c>
      <c r="D70" s="28">
        <v>100</v>
      </c>
      <c r="E70" s="7">
        <v>0</v>
      </c>
      <c r="F70" s="7">
        <v>2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2</v>
      </c>
      <c r="S70" s="7">
        <v>0</v>
      </c>
    </row>
    <row r="71" spans="1:19">
      <c r="A71" s="12" t="s">
        <v>147</v>
      </c>
      <c r="B71" s="12" t="s">
        <v>147</v>
      </c>
      <c r="C71" s="29">
        <v>50</v>
      </c>
      <c r="D71" s="29">
        <v>50</v>
      </c>
      <c r="E71" s="12">
        <v>2</v>
      </c>
      <c r="F71" s="12">
        <v>2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2</v>
      </c>
      <c r="P71" s="12">
        <v>2</v>
      </c>
      <c r="Q71" s="12">
        <v>0</v>
      </c>
      <c r="R71" s="12">
        <v>0</v>
      </c>
      <c r="S71" s="12">
        <v>0</v>
      </c>
    </row>
    <row r="72" spans="1:19">
      <c r="A72" s="7" t="s">
        <v>144</v>
      </c>
      <c r="B72" s="7" t="s">
        <v>144</v>
      </c>
      <c r="C72" s="28">
        <v>100</v>
      </c>
      <c r="D72" s="28">
        <v>0</v>
      </c>
      <c r="E72" s="7">
        <v>1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1</v>
      </c>
      <c r="P72" s="7">
        <v>0</v>
      </c>
      <c r="Q72" s="7">
        <v>0</v>
      </c>
      <c r="R72" s="7">
        <v>0</v>
      </c>
      <c r="S72" s="7">
        <v>0</v>
      </c>
    </row>
    <row r="73" spans="1:19">
      <c r="A73" s="12" t="s">
        <v>27</v>
      </c>
      <c r="B73" s="12" t="s">
        <v>28</v>
      </c>
      <c r="C73" s="29">
        <v>50</v>
      </c>
      <c r="D73" s="29">
        <v>50</v>
      </c>
      <c r="E73" s="12">
        <v>2</v>
      </c>
      <c r="F73" s="12">
        <v>2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2">
        <v>1</v>
      </c>
      <c r="N73" s="12">
        <v>0</v>
      </c>
      <c r="O73" s="12">
        <v>1</v>
      </c>
      <c r="P73" s="12">
        <v>2</v>
      </c>
      <c r="Q73" s="12">
        <v>0</v>
      </c>
      <c r="R73" s="12">
        <v>0</v>
      </c>
      <c r="S73" s="12">
        <v>0</v>
      </c>
    </row>
    <row r="501" spans="52:53">
      <c r="AZ501">
        <f>"CE_"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_DATA_!$A$2:$AZ$38, 7, FALSE), 0)</f>
        <v>0</v>
      </c>
    </row>
    <row r="507" spans="52:53">
      <c r="AZ507">
        <f>"A+ - " &amp; TEXT($BA$507/MAX($BA$521, 1), "0%")</f>
        <v>0</v>
      </c>
      <c r="BA507">
        <f>IFERROR(VLOOKUP($AZ$501, _DATA_!$A$2:$AZ$38, 8, FALSE), 0)</f>
        <v>0</v>
      </c>
    </row>
    <row r="508" spans="52:53">
      <c r="AZ508">
        <f>"A - " &amp; TEXT($BA$508/MAX($BA$521, 1), "0%")</f>
        <v>0</v>
      </c>
      <c r="BA508">
        <f>IFERROR(VLOOKUP($AZ$501, _DATA_!$A$2:$AZ$38, 9, FALSE), 0)</f>
        <v>0</v>
      </c>
    </row>
    <row r="509" spans="52:53">
      <c r="AZ509">
        <f>"B+ - " &amp; TEXT($BA$509/MAX($BA$521, 1), "0%")</f>
        <v>0</v>
      </c>
      <c r="BA509">
        <f>IFERROR(VLOOKUP($AZ$501, _DATA_!$A$2:$AZ$38, 10, FALSE), 0)</f>
        <v>0</v>
      </c>
    </row>
    <row r="510" spans="52:53">
      <c r="AZ510">
        <f>"B - " &amp; TEXT($BA$510/MAX($BA$521, 1), "0%")</f>
        <v>0</v>
      </c>
      <c r="BA510">
        <f>IFERROR(VLOOKUP($AZ$501, _DATA_!$A$2:$AZ$38, 11, FALSE), 0)</f>
        <v>0</v>
      </c>
    </row>
    <row r="511" spans="52:53">
      <c r="AZ511">
        <f>"C+ - " &amp; TEXT($BA$511/MAX($BA$521, 1), "0%")</f>
        <v>0</v>
      </c>
      <c r="BA511">
        <f>IFERROR(VLOOKUP($AZ$501, _DATA_!$A$2:$AZ$38, 12, FALSE), 0)</f>
        <v>0</v>
      </c>
    </row>
    <row r="512" spans="52:53">
      <c r="AZ512">
        <f>"C - " &amp; TEXT($BA$512/MAX($BA$521, 1), "0%")</f>
        <v>0</v>
      </c>
      <c r="BA512">
        <f>IFERROR(VLOOKUP($AZ$501, _DATA_!$A$2:$AZ$38, 13, FALSE), 0)</f>
        <v>0</v>
      </c>
    </row>
    <row r="513" spans="52:53">
      <c r="AZ513">
        <f>"D - " &amp; TEXT($BA$513/MAX($BA$521, 1), "0%")</f>
        <v>0</v>
      </c>
      <c r="BA513">
        <f>IFERROR(VLOOKUP($AZ$501, _DATA_!$A$2:$AZ$38, 14, FALSE), 0)</f>
        <v>0</v>
      </c>
    </row>
    <row r="514" spans="52:53">
      <c r="AZ514">
        <f>"P - " &amp; TEXT($BA$514/MAX($BA$521, 1), "0%")</f>
        <v>0</v>
      </c>
      <c r="BA514">
        <f>IFERROR(VLOOKUP($AZ$501, _DATA_!$A$2:$AZ$38, 15, FALSE), 0)</f>
        <v>0</v>
      </c>
    </row>
    <row r="515" spans="52:53">
      <c r="AZ515">
        <f>"PASS - " &amp; TEXT($BA$515/MAX($BA$521, 1), "0%")</f>
        <v>0</v>
      </c>
      <c r="BA515">
        <f>IFERROR(VLOOKUP($AZ$501, _DATA_!$A$2:$AZ$38, 16, FALSE), 0)</f>
        <v>0</v>
      </c>
    </row>
    <row r="516" spans="52:53">
      <c r="AZ516">
        <f>"F - " &amp; TEXT($BA$516/MAX($BA$521, 1), "0%")</f>
        <v>0</v>
      </c>
      <c r="BA516">
        <f>IFERROR(VLOOKUP($AZ$501, _DATA_!$A$2:$AZ$38, 17, FALSE), 0)</f>
        <v>0</v>
      </c>
    </row>
    <row r="517" spans="52:53">
      <c r="AZ517">
        <f>"FE - " &amp; TEXT($BA$517/MAX($BA$521, 1), "0%")</f>
        <v>0</v>
      </c>
      <c r="BA517">
        <f>IFERROR(VLOOKUP($AZ$501, _DATA_!$A$2:$AZ$38,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_DATA_!$A$2:$AZ$38,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_DATA_!$A$2:$AZ$38, 20, FALSE), 0)</f>
        <v>0</v>
      </c>
    </row>
    <row r="521" spans="52:53">
      <c r="AZ521" t="s">
        <v>187</v>
      </c>
      <c r="BA521">
        <f>IFERROR(VLOOKUP($AZ$501, _DATA_!$A$2:$T$38, 2, FALSE), 0)</f>
        <v>0</v>
      </c>
    </row>
    <row r="522" spans="52:53">
      <c r="AZ522" t="s">
        <v>188</v>
      </c>
      <c r="BA522">
        <f>IFERROR(VLOOKUP($AZ$501, _DATA_!$A$2:$T$38, 3, FALSE), 0)</f>
        <v>0</v>
      </c>
    </row>
    <row r="523" spans="52:53">
      <c r="AZ523" t="s">
        <v>189</v>
      </c>
      <c r="BA523">
        <f>IFERROR(VLOOKUP($AZ$501, _DATA_!$A$2:$T$38, 4, FALSE), 0)</f>
        <v>0</v>
      </c>
    </row>
  </sheetData>
  <mergeCells count="21">
    <mergeCell ref="A1:Q1"/>
    <mergeCell ref="A2:Q2"/>
    <mergeCell ref="A3:Q3"/>
    <mergeCell ref="A4:Q4"/>
    <mergeCell ref="A5:Q5"/>
    <mergeCell ref="A7:L7"/>
    <mergeCell ref="B10:C10"/>
    <mergeCell ref="B11:C12"/>
    <mergeCell ref="D10:F10"/>
    <mergeCell ref="D11:F12"/>
    <mergeCell ref="G10:H10"/>
    <mergeCell ref="G11:H12"/>
    <mergeCell ref="I10:J10"/>
    <mergeCell ref="I11:J12"/>
    <mergeCell ref="K10:L10"/>
    <mergeCell ref="K11:L12"/>
    <mergeCell ref="A32:G32"/>
    <mergeCell ref="A40:H40"/>
    <mergeCell ref="A49:G49"/>
    <mergeCell ref="A62:F62"/>
    <mergeCell ref="A68:S68"/>
  </mergeCells>
  <conditionalFormatting sqref="A34:G35">
    <cfRule type="containsText" dxfId="1" priority="1" operator="containsText" text="F">
      <formula>NOT(ISERROR(SEARCH("F",A34)))</formula>
    </cfRule>
    <cfRule type="containsText" dxfId="1" priority="2" operator="containsText" text="FE">
      <formula>NOT(ISERROR(SEARCH("FE",A34)))</formula>
    </cfRule>
    <cfRule type="containsText" dxfId="1" priority="3" operator="containsText" text="ABSENT">
      <formula>NOT(ISERROR(SEARCH("ABSENT",A34)))</formula>
    </cfRule>
    <cfRule type="containsText" dxfId="1" priority="4" operator="containsText" text="AB">
      <formula>NOT(ISERROR(SEARCH("AB",A34)))</formula>
    </cfRule>
    <cfRule type="containsText" dxfId="1" priority="5" operator="containsText" text="WITHHELD">
      <formula>NOT(ISERROR(SEARCH("WITHHELD",A34)))</formula>
    </cfRule>
    <cfRule type="containsText" dxfId="1" priority="6" operator="containsText" text="I">
      <formula>NOT(ISERROR(SEARCH("I",A34)))</formula>
    </cfRule>
  </conditionalFormatting>
  <conditionalFormatting sqref="A42:H44">
    <cfRule type="containsText" dxfId="1" priority="11" operator="containsText" text="F">
      <formula>NOT(ISERROR(SEARCH("F",A42)))</formula>
    </cfRule>
    <cfRule type="containsText" dxfId="1" priority="12" operator="containsText" text="FE">
      <formula>NOT(ISERROR(SEARCH("FE",A42)))</formula>
    </cfRule>
    <cfRule type="containsText" dxfId="1" priority="13" operator="containsText" text="ABSENT">
      <formula>NOT(ISERROR(SEARCH("ABSENT",A42)))</formula>
    </cfRule>
    <cfRule type="containsText" dxfId="1" priority="14" operator="containsText" text="AB">
      <formula>NOT(ISERROR(SEARCH("AB",A42)))</formula>
    </cfRule>
    <cfRule type="containsText" dxfId="1" priority="15" operator="containsText" text="WITHHELD">
      <formula>NOT(ISERROR(SEARCH("WITHHELD",A42)))</formula>
    </cfRule>
    <cfRule type="containsText" dxfId="1" priority="16" operator="containsText" text="I">
      <formula>NOT(ISERROR(SEARCH("I",A42)))</formula>
    </cfRule>
  </conditionalFormatting>
  <conditionalFormatting sqref="A51:G57">
    <cfRule type="containsText" dxfId="1" priority="21" operator="containsText" text="F">
      <formula>NOT(ISERROR(SEARCH("F",A51)))</formula>
    </cfRule>
    <cfRule type="containsText" dxfId="1" priority="22" operator="containsText" text="FE">
      <formula>NOT(ISERROR(SEARCH("FE",A51)))</formula>
    </cfRule>
    <cfRule type="containsText" dxfId="1" priority="23" operator="containsText" text="ABSENT">
      <formula>NOT(ISERROR(SEARCH("ABSENT",A51)))</formula>
    </cfRule>
    <cfRule type="containsText" dxfId="1" priority="24" operator="containsText" text="AB">
      <formula>NOT(ISERROR(SEARCH("AB",A51)))</formula>
    </cfRule>
    <cfRule type="containsText" dxfId="1" priority="25" operator="containsText" text="WITHHELD">
      <formula>NOT(ISERROR(SEARCH("WITHHELD",A51)))</formula>
    </cfRule>
    <cfRule type="containsText" dxfId="1" priority="26" operator="containsText" text="I">
      <formula>NOT(ISERROR(SEARCH("I",A51)))</formula>
    </cfRule>
  </conditionalFormatting>
  <conditionalFormatting sqref="C70:C73">
    <cfRule type="cellIs" dxfId="6" priority="32" operator="lessThan">
      <formula>40</formula>
    </cfRule>
  </conditionalFormatting>
  <conditionalFormatting sqref="E64">
    <cfRule type="cellIs" dxfId="6" priority="31" operator="lessThan">
      <formula>40</formula>
    </cfRule>
  </conditionalFormatting>
  <conditionalFormatting sqref="G34:G35">
    <cfRule type="top10" dxfId="2" priority="7" rank="1"/>
    <cfRule type="cellIs" dxfId="3" priority="8" operator="greaterThanOrEqual">
      <formula>8.0</formula>
    </cfRule>
    <cfRule type="cellIs" dxfId="4" priority="9" operator="between">
      <formula>7.5</formula>
      <formula>7.99</formula>
    </cfRule>
    <cfRule type="cellIs" dxfId="5" priority="10" operator="lessThan">
      <formula>7.5</formula>
    </cfRule>
  </conditionalFormatting>
  <conditionalFormatting sqref="G51:G57">
    <cfRule type="top10" dxfId="2" priority="27" rank="1"/>
    <cfRule type="cellIs" dxfId="3" priority="28" operator="greaterThanOrEqual">
      <formula>8.0</formula>
    </cfRule>
    <cfRule type="cellIs" dxfId="4" priority="29" operator="between">
      <formula>7.5</formula>
      <formula>7.99</formula>
    </cfRule>
    <cfRule type="cellIs" dxfId="5" priority="30" operator="lessThan">
      <formula>7.5</formula>
    </cfRule>
  </conditionalFormatting>
  <conditionalFormatting sqref="H42:H44">
    <cfRule type="top10" dxfId="2" priority="17" rank="1"/>
    <cfRule type="cellIs" dxfId="3" priority="18" operator="greaterThanOrEqual">
      <formula>8.0</formula>
    </cfRule>
    <cfRule type="cellIs" dxfId="4" priority="19" operator="between">
      <formula>7.5</formula>
      <formula>7.99</formula>
    </cfRule>
    <cfRule type="cellIs" dxfId="5" priority="20" operator="lessThan">
      <formula>7.5</formula>
    </cfRule>
  </conditionalFormatting>
  <dataValidations count="1">
    <dataValidation type="list" allowBlank="1" showInputMessage="1" showErrorMessage="1" sqref="B8">
      <formula1>"Department,CET302,CET304,CET306,CET308,CET352,HUT300"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7" width="15.7109375" customWidth="1"/>
  </cols>
  <sheetData>
    <row r="1" spans="1:17">
      <c r="A1" s="3" t="s">
        <v>259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184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185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6" t="s">
        <v>276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spans="1:17">
      <c r="A5" s="17" t="s">
        <v>277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</row>
    <row r="7" spans="1:17">
      <c r="A7" s="6" t="s">
        <v>262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spans="1:17">
      <c r="A8" s="18" t="s">
        <v>263</v>
      </c>
      <c r="B8" s="19" t="s">
        <v>254</v>
      </c>
    </row>
    <row r="10" spans="1:17">
      <c r="B10" s="20" t="s">
        <v>187</v>
      </c>
      <c r="C10" s="20"/>
      <c r="D10" s="20" t="s">
        <v>188</v>
      </c>
      <c r="E10" s="20"/>
      <c r="F10" s="20"/>
      <c r="G10" s="20" t="s">
        <v>189</v>
      </c>
      <c r="H10" s="20"/>
      <c r="I10" s="20" t="s">
        <v>264</v>
      </c>
      <c r="J10" s="20"/>
      <c r="K10" s="20" t="s">
        <v>265</v>
      </c>
      <c r="L10" s="20"/>
    </row>
    <row r="11" spans="1:17">
      <c r="B11" s="21">
        <f>IFERROR(VLOOKUP("CS_" &amp; UPPER($B$8), _DATA_!$A$2:$AZ$38, 2, FALSE), 0)</f>
        <v>0</v>
      </c>
      <c r="C11" s="21"/>
      <c r="D11" s="22">
        <f>IFERROR(VLOOKUP("CS_" &amp; UPPER($B$8), _DATA_!$A$2:$AZ$38, 3, FALSE), 0)</f>
        <v>0</v>
      </c>
      <c r="E11" s="22"/>
      <c r="F11" s="22"/>
      <c r="G11" s="23">
        <f>IFERROR(VLOOKUP("CS_" &amp; UPPER($B$8), _DATA_!$A$2:$AZ$38, 4, FALSE), 0)</f>
        <v>0</v>
      </c>
      <c r="H11" s="23"/>
      <c r="I11" s="24">
        <f>IFERROR(VLOOKUP("CS_" &amp; UPPER($B$8), _DATA_!$A$2:$AZ$38, 5, FALSE), 0)</f>
        <v>0</v>
      </c>
      <c r="J11" s="24"/>
      <c r="K11" s="24">
        <f>IFERROR(VLOOKUP("CS_" &amp; UPPER($B$8), _DATA_!$A$2:$AZ$38, 6, FALSE), 0)</f>
        <v>0</v>
      </c>
      <c r="L11" s="24"/>
    </row>
    <row r="12" spans="1:17">
      <c r="B12" s="21"/>
      <c r="C12" s="21"/>
      <c r="D12" s="22"/>
      <c r="E12" s="22"/>
      <c r="F12" s="22"/>
      <c r="G12" s="23"/>
      <c r="H12" s="23"/>
      <c r="I12" s="24"/>
      <c r="J12" s="24"/>
      <c r="K12" s="24"/>
      <c r="L12" s="24"/>
    </row>
    <row r="32" spans="1:7">
      <c r="A32" s="6" t="s">
        <v>266</v>
      </c>
      <c r="B32" s="6"/>
      <c r="C32" s="6"/>
      <c r="D32" s="6"/>
      <c r="E32" s="6"/>
      <c r="F32" s="6"/>
      <c r="G32" s="6"/>
    </row>
    <row r="33" spans="1:9">
      <c r="A33" s="1" t="s">
        <v>0</v>
      </c>
      <c r="B33" s="1" t="s">
        <v>15</v>
      </c>
      <c r="C33" s="1" t="s">
        <v>17</v>
      </c>
      <c r="D33" s="1" t="s">
        <v>12</v>
      </c>
      <c r="E33" s="1" t="s">
        <v>20</v>
      </c>
      <c r="F33" s="1" t="s">
        <v>267</v>
      </c>
      <c r="G33" s="1" t="s">
        <v>7</v>
      </c>
    </row>
    <row r="34" spans="1:9">
      <c r="A34" s="7" t="s">
        <v>8</v>
      </c>
      <c r="B34" s="7" t="s">
        <v>202</v>
      </c>
      <c r="C34" s="7" t="s">
        <v>202</v>
      </c>
      <c r="D34" s="7" t="s">
        <v>13</v>
      </c>
      <c r="E34" s="7" t="s">
        <v>202</v>
      </c>
      <c r="F34" s="7">
        <v>1</v>
      </c>
      <c r="G34" s="25">
        <v>0</v>
      </c>
    </row>
    <row r="35" spans="1:9">
      <c r="A35" s="12" t="s">
        <v>14</v>
      </c>
      <c r="B35" s="12" t="s">
        <v>13</v>
      </c>
      <c r="C35" s="12" t="s">
        <v>202</v>
      </c>
      <c r="D35" s="12" t="s">
        <v>202</v>
      </c>
      <c r="E35" s="12" t="s">
        <v>202</v>
      </c>
      <c r="F35" s="12">
        <v>1</v>
      </c>
      <c r="G35" s="26">
        <v>0</v>
      </c>
    </row>
    <row r="36" spans="1:9">
      <c r="A36" s="7" t="s">
        <v>16</v>
      </c>
      <c r="B36" s="7" t="s">
        <v>202</v>
      </c>
      <c r="C36" s="7" t="s">
        <v>18</v>
      </c>
      <c r="D36" s="7" t="s">
        <v>202</v>
      </c>
      <c r="E36" s="7" t="s">
        <v>202</v>
      </c>
      <c r="F36" s="7">
        <v>0</v>
      </c>
      <c r="G36" s="25">
        <v>5.5</v>
      </c>
    </row>
    <row r="37" spans="1:9">
      <c r="A37" s="12" t="s">
        <v>19</v>
      </c>
      <c r="B37" s="12" t="s">
        <v>202</v>
      </c>
      <c r="C37" s="12" t="s">
        <v>202</v>
      </c>
      <c r="D37" s="12" t="s">
        <v>202</v>
      </c>
      <c r="E37" s="12" t="s">
        <v>13</v>
      </c>
      <c r="F37" s="12">
        <v>1</v>
      </c>
      <c r="G37" s="26">
        <v>0</v>
      </c>
    </row>
    <row r="38" spans="1:9">
      <c r="A38" s="7" t="s">
        <v>22</v>
      </c>
      <c r="B38" s="7" t="s">
        <v>202</v>
      </c>
      <c r="C38" s="7" t="s">
        <v>202</v>
      </c>
      <c r="D38" s="7" t="s">
        <v>202</v>
      </c>
      <c r="E38" s="7" t="s">
        <v>18</v>
      </c>
      <c r="F38" s="7">
        <v>0</v>
      </c>
      <c r="G38" s="25">
        <v>5.5</v>
      </c>
    </row>
    <row r="39" spans="1:9">
      <c r="A39" s="12" t="s">
        <v>23</v>
      </c>
      <c r="B39" s="12" t="s">
        <v>202</v>
      </c>
      <c r="C39" s="12" t="s">
        <v>24</v>
      </c>
      <c r="D39" s="12" t="s">
        <v>24</v>
      </c>
      <c r="E39" s="12" t="s">
        <v>24</v>
      </c>
      <c r="F39" s="12">
        <v>3</v>
      </c>
      <c r="G39" s="26">
        <v>0</v>
      </c>
    </row>
    <row r="44" spans="1:9">
      <c r="A44" s="6" t="s">
        <v>269</v>
      </c>
      <c r="B44" s="6"/>
      <c r="C44" s="6"/>
      <c r="D44" s="6"/>
      <c r="E44" s="6"/>
      <c r="F44" s="6"/>
      <c r="G44" s="6"/>
      <c r="H44" s="6"/>
      <c r="I44" s="6"/>
    </row>
    <row r="45" spans="1:9">
      <c r="A45" s="1" t="s">
        <v>0</v>
      </c>
      <c r="B45" s="1" t="s">
        <v>15</v>
      </c>
      <c r="C45" s="1" t="s">
        <v>17</v>
      </c>
      <c r="D45" s="1" t="s">
        <v>12</v>
      </c>
      <c r="E45" s="1" t="s">
        <v>30</v>
      </c>
      <c r="F45" s="1" t="s">
        <v>32</v>
      </c>
      <c r="G45" s="1" t="s">
        <v>27</v>
      </c>
      <c r="H45" s="1" t="s">
        <v>267</v>
      </c>
      <c r="I45" s="1" t="s">
        <v>7</v>
      </c>
    </row>
    <row r="46" spans="1:9">
      <c r="A46" s="7" t="s">
        <v>25</v>
      </c>
      <c r="B46" s="7" t="s">
        <v>202</v>
      </c>
      <c r="C46" s="7" t="s">
        <v>202</v>
      </c>
      <c r="D46" s="7" t="s">
        <v>18</v>
      </c>
      <c r="E46" s="7" t="s">
        <v>202</v>
      </c>
      <c r="F46" s="7" t="s">
        <v>202</v>
      </c>
      <c r="G46" s="7" t="s">
        <v>13</v>
      </c>
      <c r="H46" s="7">
        <v>1</v>
      </c>
      <c r="I46" s="25">
        <v>0</v>
      </c>
    </row>
    <row r="47" spans="1:9">
      <c r="A47" s="12" t="s">
        <v>29</v>
      </c>
      <c r="B47" s="12" t="s">
        <v>202</v>
      </c>
      <c r="C47" s="12" t="s">
        <v>202</v>
      </c>
      <c r="D47" s="12" t="s">
        <v>202</v>
      </c>
      <c r="E47" s="12" t="s">
        <v>24</v>
      </c>
      <c r="F47" s="12" t="s">
        <v>24</v>
      </c>
      <c r="G47" s="12" t="s">
        <v>24</v>
      </c>
      <c r="H47" s="12">
        <v>3</v>
      </c>
      <c r="I47" s="26">
        <v>0</v>
      </c>
    </row>
    <row r="48" spans="1:9">
      <c r="A48" s="7" t="s">
        <v>34</v>
      </c>
      <c r="B48" s="7" t="s">
        <v>202</v>
      </c>
      <c r="C48" s="7" t="s">
        <v>202</v>
      </c>
      <c r="D48" s="7" t="s">
        <v>202</v>
      </c>
      <c r="E48" s="7" t="s">
        <v>13</v>
      </c>
      <c r="F48" s="7" t="s">
        <v>202</v>
      </c>
      <c r="G48" s="7" t="s">
        <v>13</v>
      </c>
      <c r="H48" s="7">
        <v>2</v>
      </c>
      <c r="I48" s="25">
        <v>0</v>
      </c>
    </row>
    <row r="49" spans="1:9">
      <c r="A49" s="12" t="s">
        <v>35</v>
      </c>
      <c r="B49" s="12" t="s">
        <v>13</v>
      </c>
      <c r="C49" s="12" t="s">
        <v>202</v>
      </c>
      <c r="D49" s="12" t="s">
        <v>13</v>
      </c>
      <c r="E49" s="12" t="s">
        <v>202</v>
      </c>
      <c r="F49" s="12" t="s">
        <v>202</v>
      </c>
      <c r="G49" s="12" t="s">
        <v>13</v>
      </c>
      <c r="H49" s="12">
        <v>3</v>
      </c>
      <c r="I49" s="26">
        <v>0</v>
      </c>
    </row>
    <row r="50" spans="1:9">
      <c r="A50" s="7" t="s">
        <v>36</v>
      </c>
      <c r="B50" s="7" t="s">
        <v>13</v>
      </c>
      <c r="C50" s="7" t="s">
        <v>202</v>
      </c>
      <c r="D50" s="7" t="s">
        <v>202</v>
      </c>
      <c r="E50" s="7" t="s">
        <v>202</v>
      </c>
      <c r="F50" s="7" t="s">
        <v>202</v>
      </c>
      <c r="G50" s="7" t="s">
        <v>13</v>
      </c>
      <c r="H50" s="7">
        <v>2</v>
      </c>
      <c r="I50" s="25">
        <v>0</v>
      </c>
    </row>
    <row r="51" spans="1:9">
      <c r="A51" s="12" t="s">
        <v>37</v>
      </c>
      <c r="B51" s="12" t="s">
        <v>18</v>
      </c>
      <c r="C51" s="12" t="s">
        <v>202</v>
      </c>
      <c r="D51" s="12" t="s">
        <v>202</v>
      </c>
      <c r="E51" s="12" t="s">
        <v>202</v>
      </c>
      <c r="F51" s="12" t="s">
        <v>18</v>
      </c>
      <c r="G51" s="12" t="s">
        <v>18</v>
      </c>
      <c r="H51" s="12">
        <v>0</v>
      </c>
      <c r="I51" s="26">
        <v>5.5</v>
      </c>
    </row>
    <row r="52" spans="1:9">
      <c r="A52" s="7" t="s">
        <v>38</v>
      </c>
      <c r="B52" s="7" t="s">
        <v>202</v>
      </c>
      <c r="C52" s="7" t="s">
        <v>202</v>
      </c>
      <c r="D52" s="7" t="s">
        <v>202</v>
      </c>
      <c r="E52" s="7" t="s">
        <v>13</v>
      </c>
      <c r="F52" s="7" t="s">
        <v>202</v>
      </c>
      <c r="G52" s="7" t="s">
        <v>202</v>
      </c>
      <c r="H52" s="7">
        <v>1</v>
      </c>
      <c r="I52" s="25">
        <v>0</v>
      </c>
    </row>
    <row r="53" spans="1:9">
      <c r="A53" s="12" t="s">
        <v>39</v>
      </c>
      <c r="B53" s="12" t="s">
        <v>202</v>
      </c>
      <c r="C53" s="12" t="s">
        <v>202</v>
      </c>
      <c r="D53" s="12" t="s">
        <v>202</v>
      </c>
      <c r="E53" s="12" t="s">
        <v>18</v>
      </c>
      <c r="F53" s="12" t="s">
        <v>202</v>
      </c>
      <c r="G53" s="12" t="s">
        <v>202</v>
      </c>
      <c r="H53" s="12">
        <v>0</v>
      </c>
      <c r="I53" s="26">
        <v>5.5</v>
      </c>
    </row>
    <row r="54" spans="1:9">
      <c r="A54" s="7" t="s">
        <v>40</v>
      </c>
      <c r="B54" s="7" t="s">
        <v>13</v>
      </c>
      <c r="C54" s="7" t="s">
        <v>202</v>
      </c>
      <c r="D54" s="7" t="s">
        <v>202</v>
      </c>
      <c r="E54" s="7" t="s">
        <v>202</v>
      </c>
      <c r="F54" s="7" t="s">
        <v>202</v>
      </c>
      <c r="G54" s="7" t="s">
        <v>13</v>
      </c>
      <c r="H54" s="7">
        <v>2</v>
      </c>
      <c r="I54" s="25">
        <v>0</v>
      </c>
    </row>
    <row r="55" spans="1:9">
      <c r="A55" s="12" t="s">
        <v>41</v>
      </c>
      <c r="B55" s="12" t="s">
        <v>13</v>
      </c>
      <c r="C55" s="12" t="s">
        <v>202</v>
      </c>
      <c r="D55" s="12" t="s">
        <v>24</v>
      </c>
      <c r="E55" s="12" t="s">
        <v>202</v>
      </c>
      <c r="F55" s="12" t="s">
        <v>18</v>
      </c>
      <c r="G55" s="12" t="s">
        <v>13</v>
      </c>
      <c r="H55" s="12">
        <v>3</v>
      </c>
      <c r="I55" s="26">
        <v>0</v>
      </c>
    </row>
    <row r="56" spans="1:9">
      <c r="A56" s="7" t="s">
        <v>42</v>
      </c>
      <c r="B56" s="7" t="s">
        <v>202</v>
      </c>
      <c r="C56" s="7" t="s">
        <v>13</v>
      </c>
      <c r="D56" s="7" t="s">
        <v>202</v>
      </c>
      <c r="E56" s="7" t="s">
        <v>202</v>
      </c>
      <c r="F56" s="7" t="s">
        <v>202</v>
      </c>
      <c r="G56" s="7" t="s">
        <v>13</v>
      </c>
      <c r="H56" s="7">
        <v>2</v>
      </c>
      <c r="I56" s="25">
        <v>0</v>
      </c>
    </row>
    <row r="57" spans="1:9">
      <c r="A57" s="12" t="s">
        <v>43</v>
      </c>
      <c r="B57" s="12" t="s">
        <v>202</v>
      </c>
      <c r="C57" s="12" t="s">
        <v>13</v>
      </c>
      <c r="D57" s="12" t="s">
        <v>202</v>
      </c>
      <c r="E57" s="12" t="s">
        <v>202</v>
      </c>
      <c r="F57" s="12" t="s">
        <v>202</v>
      </c>
      <c r="G57" s="12" t="s">
        <v>13</v>
      </c>
      <c r="H57" s="12">
        <v>2</v>
      </c>
      <c r="I57" s="26">
        <v>0</v>
      </c>
    </row>
    <row r="58" spans="1:9">
      <c r="A58" s="7" t="s">
        <v>44</v>
      </c>
      <c r="B58" s="7" t="s">
        <v>202</v>
      </c>
      <c r="C58" s="7" t="s">
        <v>202</v>
      </c>
      <c r="D58" s="7" t="s">
        <v>202</v>
      </c>
      <c r="E58" s="7" t="s">
        <v>202</v>
      </c>
      <c r="F58" s="7" t="s">
        <v>202</v>
      </c>
      <c r="G58" s="7" t="s">
        <v>18</v>
      </c>
      <c r="H58" s="7">
        <v>0</v>
      </c>
      <c r="I58" s="25">
        <v>5.5</v>
      </c>
    </row>
    <row r="59" spans="1:9">
      <c r="A59" s="12" t="s">
        <v>45</v>
      </c>
      <c r="B59" s="12" t="s">
        <v>202</v>
      </c>
      <c r="C59" s="12" t="s">
        <v>18</v>
      </c>
      <c r="D59" s="12" t="s">
        <v>202</v>
      </c>
      <c r="E59" s="12" t="s">
        <v>202</v>
      </c>
      <c r="F59" s="12" t="s">
        <v>13</v>
      </c>
      <c r="G59" s="12" t="s">
        <v>13</v>
      </c>
      <c r="H59" s="12">
        <v>2</v>
      </c>
      <c r="I59" s="26">
        <v>0</v>
      </c>
    </row>
    <row r="60" spans="1:9">
      <c r="A60" s="7" t="s">
        <v>46</v>
      </c>
      <c r="B60" s="7" t="s">
        <v>202</v>
      </c>
      <c r="C60" s="7" t="s">
        <v>202</v>
      </c>
      <c r="D60" s="7" t="s">
        <v>202</v>
      </c>
      <c r="E60" s="7" t="s">
        <v>202</v>
      </c>
      <c r="F60" s="7" t="s">
        <v>202</v>
      </c>
      <c r="G60" s="7" t="s">
        <v>13</v>
      </c>
      <c r="H60" s="7">
        <v>1</v>
      </c>
      <c r="I60" s="25">
        <v>0</v>
      </c>
    </row>
    <row r="61" spans="1:9">
      <c r="A61" s="12" t="s">
        <v>47</v>
      </c>
      <c r="B61" s="12" t="s">
        <v>24</v>
      </c>
      <c r="C61" s="12" t="s">
        <v>24</v>
      </c>
      <c r="D61" s="12" t="s">
        <v>24</v>
      </c>
      <c r="E61" s="12" t="s">
        <v>202</v>
      </c>
      <c r="F61" s="12" t="s">
        <v>24</v>
      </c>
      <c r="G61" s="12" t="s">
        <v>24</v>
      </c>
      <c r="H61" s="12">
        <v>5</v>
      </c>
      <c r="I61" s="26">
        <v>0</v>
      </c>
    </row>
    <row r="62" spans="1:9">
      <c r="A62" s="7" t="s">
        <v>48</v>
      </c>
      <c r="B62" s="7" t="s">
        <v>202</v>
      </c>
      <c r="C62" s="7" t="s">
        <v>202</v>
      </c>
      <c r="D62" s="7" t="s">
        <v>202</v>
      </c>
      <c r="E62" s="7" t="s">
        <v>18</v>
      </c>
      <c r="F62" s="7" t="s">
        <v>202</v>
      </c>
      <c r="G62" s="7" t="s">
        <v>49</v>
      </c>
      <c r="H62" s="7">
        <v>0</v>
      </c>
      <c r="I62" s="25">
        <v>5.88</v>
      </c>
    </row>
    <row r="63" spans="1:9">
      <c r="A63" s="12" t="s">
        <v>50</v>
      </c>
      <c r="B63" s="12" t="s">
        <v>202</v>
      </c>
      <c r="C63" s="12" t="s">
        <v>202</v>
      </c>
      <c r="D63" s="12" t="s">
        <v>202</v>
      </c>
      <c r="E63" s="12" t="s">
        <v>18</v>
      </c>
      <c r="F63" s="12" t="s">
        <v>202</v>
      </c>
      <c r="G63" s="12" t="s">
        <v>18</v>
      </c>
      <c r="H63" s="12">
        <v>0</v>
      </c>
      <c r="I63" s="26">
        <v>5.5</v>
      </c>
    </row>
    <row r="64" spans="1:9">
      <c r="A64" s="7" t="s">
        <v>51</v>
      </c>
      <c r="B64" s="7" t="s">
        <v>202</v>
      </c>
      <c r="C64" s="7" t="s">
        <v>202</v>
      </c>
      <c r="D64" s="7" t="s">
        <v>202</v>
      </c>
      <c r="E64" s="7" t="s">
        <v>13</v>
      </c>
      <c r="F64" s="7" t="s">
        <v>202</v>
      </c>
      <c r="G64" s="7" t="s">
        <v>202</v>
      </c>
      <c r="H64" s="7">
        <v>1</v>
      </c>
      <c r="I64" s="25">
        <v>0</v>
      </c>
    </row>
    <row r="65" spans="1:9">
      <c r="A65" s="12" t="s">
        <v>52</v>
      </c>
      <c r="B65" s="12" t="s">
        <v>202</v>
      </c>
      <c r="C65" s="12" t="s">
        <v>202</v>
      </c>
      <c r="D65" s="12" t="s">
        <v>202</v>
      </c>
      <c r="E65" s="12" t="s">
        <v>13</v>
      </c>
      <c r="F65" s="12" t="s">
        <v>202</v>
      </c>
      <c r="G65" s="12" t="s">
        <v>13</v>
      </c>
      <c r="H65" s="12">
        <v>2</v>
      </c>
      <c r="I65" s="26">
        <v>0</v>
      </c>
    </row>
    <row r="66" spans="1:9">
      <c r="A66" s="7" t="s">
        <v>53</v>
      </c>
      <c r="B66" s="7" t="s">
        <v>202</v>
      </c>
      <c r="C66" s="7" t="s">
        <v>202</v>
      </c>
      <c r="D66" s="7" t="s">
        <v>202</v>
      </c>
      <c r="E66" s="7" t="s">
        <v>202</v>
      </c>
      <c r="F66" s="7" t="s">
        <v>202</v>
      </c>
      <c r="G66" s="7" t="s">
        <v>13</v>
      </c>
      <c r="H66" s="7">
        <v>1</v>
      </c>
      <c r="I66" s="25">
        <v>0</v>
      </c>
    </row>
    <row r="67" spans="1:9">
      <c r="A67" s="12" t="s">
        <v>54</v>
      </c>
      <c r="B67" s="12" t="s">
        <v>202</v>
      </c>
      <c r="C67" s="12" t="s">
        <v>202</v>
      </c>
      <c r="D67" s="12" t="s">
        <v>202</v>
      </c>
      <c r="E67" s="12" t="s">
        <v>18</v>
      </c>
      <c r="F67" s="12" t="s">
        <v>202</v>
      </c>
      <c r="G67" s="12" t="s">
        <v>202</v>
      </c>
      <c r="H67" s="12">
        <v>0</v>
      </c>
      <c r="I67" s="26">
        <v>5.5</v>
      </c>
    </row>
    <row r="68" spans="1:9">
      <c r="A68" s="7" t="s">
        <v>55</v>
      </c>
      <c r="B68" s="7" t="s">
        <v>202</v>
      </c>
      <c r="C68" s="7" t="s">
        <v>49</v>
      </c>
      <c r="D68" s="7" t="s">
        <v>202</v>
      </c>
      <c r="E68" s="7" t="s">
        <v>13</v>
      </c>
      <c r="F68" s="7" t="s">
        <v>13</v>
      </c>
      <c r="G68" s="7" t="s">
        <v>13</v>
      </c>
      <c r="H68" s="7">
        <v>3</v>
      </c>
      <c r="I68" s="25">
        <v>0</v>
      </c>
    </row>
    <row r="69" spans="1:9">
      <c r="A69" s="12" t="s">
        <v>56</v>
      </c>
      <c r="B69" s="12" t="s">
        <v>24</v>
      </c>
      <c r="C69" s="12" t="s">
        <v>202</v>
      </c>
      <c r="D69" s="12" t="s">
        <v>202</v>
      </c>
      <c r="E69" s="12" t="s">
        <v>202</v>
      </c>
      <c r="F69" s="12" t="s">
        <v>202</v>
      </c>
      <c r="G69" s="12" t="s">
        <v>13</v>
      </c>
      <c r="H69" s="12">
        <v>2</v>
      </c>
      <c r="I69" s="26">
        <v>0</v>
      </c>
    </row>
    <row r="70" spans="1:9">
      <c r="A70" s="7" t="s">
        <v>57</v>
      </c>
      <c r="B70" s="7" t="s">
        <v>13</v>
      </c>
      <c r="C70" s="7" t="s">
        <v>49</v>
      </c>
      <c r="D70" s="7" t="s">
        <v>24</v>
      </c>
      <c r="E70" s="7" t="s">
        <v>202</v>
      </c>
      <c r="F70" s="7" t="s">
        <v>202</v>
      </c>
      <c r="G70" s="7" t="s">
        <v>24</v>
      </c>
      <c r="H70" s="7">
        <v>3</v>
      </c>
      <c r="I70" s="25">
        <v>0</v>
      </c>
    </row>
    <row r="71" spans="1:9">
      <c r="A71" s="12" t="s">
        <v>58</v>
      </c>
      <c r="B71" s="12" t="s">
        <v>24</v>
      </c>
      <c r="C71" s="12" t="s">
        <v>202</v>
      </c>
      <c r="D71" s="12" t="s">
        <v>202</v>
      </c>
      <c r="E71" s="12" t="s">
        <v>202</v>
      </c>
      <c r="F71" s="12" t="s">
        <v>202</v>
      </c>
      <c r="G71" s="12" t="s">
        <v>59</v>
      </c>
      <c r="H71" s="12">
        <v>1</v>
      </c>
      <c r="I71" s="26">
        <v>0</v>
      </c>
    </row>
    <row r="72" spans="1:9">
      <c r="A72" s="7" t="s">
        <v>60</v>
      </c>
      <c r="B72" s="7" t="s">
        <v>202</v>
      </c>
      <c r="C72" s="7" t="s">
        <v>202</v>
      </c>
      <c r="D72" s="7" t="s">
        <v>202</v>
      </c>
      <c r="E72" s="7" t="s">
        <v>13</v>
      </c>
      <c r="F72" s="7" t="s">
        <v>202</v>
      </c>
      <c r="G72" s="7" t="s">
        <v>202</v>
      </c>
      <c r="H72" s="7">
        <v>1</v>
      </c>
      <c r="I72" s="25">
        <v>0</v>
      </c>
    </row>
    <row r="73" spans="1:9">
      <c r="A73" s="12" t="s">
        <v>61</v>
      </c>
      <c r="B73" s="12" t="s">
        <v>62</v>
      </c>
      <c r="C73" s="12" t="s">
        <v>62</v>
      </c>
      <c r="D73" s="12" t="s">
        <v>62</v>
      </c>
      <c r="E73" s="12" t="s">
        <v>202</v>
      </c>
      <c r="F73" s="12" t="s">
        <v>62</v>
      </c>
      <c r="G73" s="12" t="s">
        <v>62</v>
      </c>
      <c r="H73" s="12">
        <v>5</v>
      </c>
      <c r="I73" s="26">
        <v>0</v>
      </c>
    </row>
    <row r="74" spans="1:9">
      <c r="A74" s="7" t="s">
        <v>63</v>
      </c>
      <c r="B74" s="7" t="s">
        <v>202</v>
      </c>
      <c r="C74" s="7" t="s">
        <v>202</v>
      </c>
      <c r="D74" s="7" t="s">
        <v>202</v>
      </c>
      <c r="E74" s="7" t="s">
        <v>202</v>
      </c>
      <c r="F74" s="7" t="s">
        <v>13</v>
      </c>
      <c r="G74" s="7" t="s">
        <v>13</v>
      </c>
      <c r="H74" s="7">
        <v>2</v>
      </c>
      <c r="I74" s="25">
        <v>0</v>
      </c>
    </row>
    <row r="75" spans="1:9">
      <c r="A75" s="12" t="s">
        <v>64</v>
      </c>
      <c r="B75" s="12" t="s">
        <v>59</v>
      </c>
      <c r="C75" s="12" t="s">
        <v>49</v>
      </c>
      <c r="D75" s="12" t="s">
        <v>202</v>
      </c>
      <c r="E75" s="12" t="s">
        <v>202</v>
      </c>
      <c r="F75" s="12" t="s">
        <v>202</v>
      </c>
      <c r="G75" s="12" t="s">
        <v>59</v>
      </c>
      <c r="H75" s="12">
        <v>0</v>
      </c>
      <c r="I75" s="26">
        <v>6.32</v>
      </c>
    </row>
    <row r="76" spans="1:9">
      <c r="A76" s="7" t="s">
        <v>65</v>
      </c>
      <c r="B76" s="7" t="s">
        <v>202</v>
      </c>
      <c r="C76" s="7" t="s">
        <v>202</v>
      </c>
      <c r="D76" s="7" t="s">
        <v>202</v>
      </c>
      <c r="E76" s="7" t="s">
        <v>202</v>
      </c>
      <c r="F76" s="7" t="s">
        <v>202</v>
      </c>
      <c r="G76" s="7" t="s">
        <v>49</v>
      </c>
      <c r="H76" s="7">
        <v>0</v>
      </c>
      <c r="I76" s="25">
        <v>6</v>
      </c>
    </row>
    <row r="77" spans="1:9">
      <c r="A77" s="12" t="s">
        <v>66</v>
      </c>
      <c r="B77" s="12" t="s">
        <v>202</v>
      </c>
      <c r="C77" s="12" t="s">
        <v>202</v>
      </c>
      <c r="D77" s="12" t="s">
        <v>202</v>
      </c>
      <c r="E77" s="12" t="s">
        <v>13</v>
      </c>
      <c r="F77" s="12" t="s">
        <v>202</v>
      </c>
      <c r="G77" s="12" t="s">
        <v>13</v>
      </c>
      <c r="H77" s="12">
        <v>2</v>
      </c>
      <c r="I77" s="26">
        <v>0</v>
      </c>
    </row>
    <row r="78" spans="1:9">
      <c r="A78" s="7" t="s">
        <v>67</v>
      </c>
      <c r="B78" s="7" t="s">
        <v>13</v>
      </c>
      <c r="C78" s="7" t="s">
        <v>202</v>
      </c>
      <c r="D78" s="7" t="s">
        <v>202</v>
      </c>
      <c r="E78" s="7" t="s">
        <v>13</v>
      </c>
      <c r="F78" s="7" t="s">
        <v>13</v>
      </c>
      <c r="G78" s="7" t="s">
        <v>202</v>
      </c>
      <c r="H78" s="7">
        <v>3</v>
      </c>
      <c r="I78" s="25">
        <v>0</v>
      </c>
    </row>
    <row r="79" spans="1:9">
      <c r="A79" s="12" t="s">
        <v>68</v>
      </c>
      <c r="B79" s="12" t="s">
        <v>18</v>
      </c>
      <c r="C79" s="12" t="s">
        <v>202</v>
      </c>
      <c r="D79" s="12" t="s">
        <v>202</v>
      </c>
      <c r="E79" s="12" t="s">
        <v>202</v>
      </c>
      <c r="F79" s="12" t="s">
        <v>202</v>
      </c>
      <c r="G79" s="12" t="s">
        <v>13</v>
      </c>
      <c r="H79" s="12">
        <v>1</v>
      </c>
      <c r="I79" s="26">
        <v>0</v>
      </c>
    </row>
    <row r="80" spans="1:9">
      <c r="A80" s="7" t="s">
        <v>69</v>
      </c>
      <c r="B80" s="7" t="s">
        <v>59</v>
      </c>
      <c r="C80" s="7" t="s">
        <v>202</v>
      </c>
      <c r="D80" s="7" t="s">
        <v>202</v>
      </c>
      <c r="E80" s="7" t="s">
        <v>49</v>
      </c>
      <c r="F80" s="7" t="s">
        <v>202</v>
      </c>
      <c r="G80" s="7" t="s">
        <v>18</v>
      </c>
      <c r="H80" s="7">
        <v>0</v>
      </c>
      <c r="I80" s="25">
        <v>6.06</v>
      </c>
    </row>
    <row r="81" spans="1:9">
      <c r="A81" s="12" t="s">
        <v>70</v>
      </c>
      <c r="B81" s="12" t="s">
        <v>202</v>
      </c>
      <c r="C81" s="12" t="s">
        <v>202</v>
      </c>
      <c r="D81" s="12" t="s">
        <v>202</v>
      </c>
      <c r="E81" s="12" t="s">
        <v>18</v>
      </c>
      <c r="F81" s="12" t="s">
        <v>202</v>
      </c>
      <c r="G81" s="12" t="s">
        <v>202</v>
      </c>
      <c r="H81" s="12">
        <v>0</v>
      </c>
      <c r="I81" s="26">
        <v>5.5</v>
      </c>
    </row>
    <row r="82" spans="1:9">
      <c r="A82" s="7" t="s">
        <v>71</v>
      </c>
      <c r="B82" s="7" t="s">
        <v>13</v>
      </c>
      <c r="C82" s="7" t="s">
        <v>202</v>
      </c>
      <c r="D82" s="7" t="s">
        <v>202</v>
      </c>
      <c r="E82" s="7" t="s">
        <v>49</v>
      </c>
      <c r="F82" s="7" t="s">
        <v>202</v>
      </c>
      <c r="G82" s="7" t="s">
        <v>13</v>
      </c>
      <c r="H82" s="7">
        <v>2</v>
      </c>
      <c r="I82" s="25">
        <v>0</v>
      </c>
    </row>
    <row r="83" spans="1:9">
      <c r="A83" s="12" t="s">
        <v>72</v>
      </c>
      <c r="B83" s="12" t="s">
        <v>202</v>
      </c>
      <c r="C83" s="12" t="s">
        <v>202</v>
      </c>
      <c r="D83" s="12" t="s">
        <v>202</v>
      </c>
      <c r="E83" s="12" t="s">
        <v>202</v>
      </c>
      <c r="F83" s="12" t="s">
        <v>13</v>
      </c>
      <c r="G83" s="12" t="s">
        <v>13</v>
      </c>
      <c r="H83" s="12">
        <v>2</v>
      </c>
      <c r="I83" s="26">
        <v>0</v>
      </c>
    </row>
    <row r="84" spans="1:9">
      <c r="A84" s="7" t="s">
        <v>73</v>
      </c>
      <c r="B84" s="7" t="s">
        <v>13</v>
      </c>
      <c r="C84" s="7" t="s">
        <v>74</v>
      </c>
      <c r="D84" s="7" t="s">
        <v>202</v>
      </c>
      <c r="E84" s="7" t="s">
        <v>74</v>
      </c>
      <c r="F84" s="7" t="s">
        <v>13</v>
      </c>
      <c r="G84" s="7" t="s">
        <v>13</v>
      </c>
      <c r="H84" s="7">
        <v>3</v>
      </c>
      <c r="I84" s="25">
        <v>0</v>
      </c>
    </row>
    <row r="85" spans="1:9">
      <c r="A85" s="12" t="s">
        <v>75</v>
      </c>
      <c r="B85" s="12" t="s">
        <v>202</v>
      </c>
      <c r="C85" s="12" t="s">
        <v>202</v>
      </c>
      <c r="D85" s="12" t="s">
        <v>202</v>
      </c>
      <c r="E85" s="12" t="s">
        <v>13</v>
      </c>
      <c r="F85" s="12" t="s">
        <v>24</v>
      </c>
      <c r="G85" s="12" t="s">
        <v>13</v>
      </c>
      <c r="H85" s="12">
        <v>3</v>
      </c>
      <c r="I85" s="26">
        <v>0</v>
      </c>
    </row>
    <row r="86" spans="1:9">
      <c r="A86" s="7" t="s">
        <v>76</v>
      </c>
      <c r="B86" s="7" t="s">
        <v>202</v>
      </c>
      <c r="C86" s="7" t="s">
        <v>202</v>
      </c>
      <c r="D86" s="7" t="s">
        <v>202</v>
      </c>
      <c r="E86" s="7" t="s">
        <v>13</v>
      </c>
      <c r="F86" s="7" t="s">
        <v>202</v>
      </c>
      <c r="G86" s="7" t="s">
        <v>49</v>
      </c>
      <c r="H86" s="7">
        <v>1</v>
      </c>
      <c r="I86" s="25">
        <v>0</v>
      </c>
    </row>
    <row r="87" spans="1:9">
      <c r="A87" s="12" t="s">
        <v>77</v>
      </c>
      <c r="B87" s="12" t="s">
        <v>202</v>
      </c>
      <c r="C87" s="12" t="s">
        <v>202</v>
      </c>
      <c r="D87" s="12" t="s">
        <v>202</v>
      </c>
      <c r="E87" s="12" t="s">
        <v>13</v>
      </c>
      <c r="F87" s="12" t="s">
        <v>202</v>
      </c>
      <c r="G87" s="12" t="s">
        <v>49</v>
      </c>
      <c r="H87" s="12">
        <v>1</v>
      </c>
      <c r="I87" s="26">
        <v>0</v>
      </c>
    </row>
    <row r="88" spans="1:9">
      <c r="A88" s="7" t="s">
        <v>78</v>
      </c>
      <c r="B88" s="7" t="s">
        <v>202</v>
      </c>
      <c r="C88" s="7" t="s">
        <v>202</v>
      </c>
      <c r="D88" s="7" t="s">
        <v>202</v>
      </c>
      <c r="E88" s="7" t="s">
        <v>13</v>
      </c>
      <c r="F88" s="7" t="s">
        <v>13</v>
      </c>
      <c r="G88" s="7" t="s">
        <v>13</v>
      </c>
      <c r="H88" s="7">
        <v>3</v>
      </c>
      <c r="I88" s="25">
        <v>0</v>
      </c>
    </row>
    <row r="89" spans="1:9">
      <c r="A89" s="12" t="s">
        <v>79</v>
      </c>
      <c r="B89" s="12" t="s">
        <v>202</v>
      </c>
      <c r="C89" s="12" t="s">
        <v>202</v>
      </c>
      <c r="D89" s="12" t="s">
        <v>202</v>
      </c>
      <c r="E89" s="12" t="s">
        <v>13</v>
      </c>
      <c r="F89" s="12" t="s">
        <v>202</v>
      </c>
      <c r="G89" s="12" t="s">
        <v>13</v>
      </c>
      <c r="H89" s="12">
        <v>2</v>
      </c>
      <c r="I89" s="26">
        <v>0</v>
      </c>
    </row>
    <row r="90" spans="1:9">
      <c r="A90" s="7" t="s">
        <v>80</v>
      </c>
      <c r="B90" s="7" t="s">
        <v>13</v>
      </c>
      <c r="C90" s="7" t="s">
        <v>202</v>
      </c>
      <c r="D90" s="7" t="s">
        <v>202</v>
      </c>
      <c r="E90" s="7" t="s">
        <v>13</v>
      </c>
      <c r="F90" s="7" t="s">
        <v>202</v>
      </c>
      <c r="G90" s="7" t="s">
        <v>13</v>
      </c>
      <c r="H90" s="7">
        <v>3</v>
      </c>
      <c r="I90" s="25">
        <v>0</v>
      </c>
    </row>
    <row r="91" spans="1:9">
      <c r="A91" s="12" t="s">
        <v>81</v>
      </c>
      <c r="B91" s="12" t="s">
        <v>13</v>
      </c>
      <c r="C91" s="12" t="s">
        <v>202</v>
      </c>
      <c r="D91" s="12" t="s">
        <v>202</v>
      </c>
      <c r="E91" s="12" t="s">
        <v>24</v>
      </c>
      <c r="F91" s="12" t="s">
        <v>13</v>
      </c>
      <c r="G91" s="12" t="s">
        <v>13</v>
      </c>
      <c r="H91" s="12">
        <v>4</v>
      </c>
      <c r="I91" s="26">
        <v>0</v>
      </c>
    </row>
    <row r="92" spans="1:9">
      <c r="A92" s="7" t="s">
        <v>82</v>
      </c>
      <c r="B92" s="7" t="s">
        <v>13</v>
      </c>
      <c r="C92" s="7" t="s">
        <v>83</v>
      </c>
      <c r="D92" s="7" t="s">
        <v>13</v>
      </c>
      <c r="E92" s="7" t="s">
        <v>83</v>
      </c>
      <c r="F92" s="7" t="s">
        <v>202</v>
      </c>
      <c r="G92" s="7" t="s">
        <v>13</v>
      </c>
      <c r="H92" s="7">
        <v>3</v>
      </c>
      <c r="I92" s="25">
        <v>0</v>
      </c>
    </row>
    <row r="93" spans="1:9">
      <c r="A93" s="12" t="s">
        <v>84</v>
      </c>
      <c r="B93" s="12" t="s">
        <v>202</v>
      </c>
      <c r="C93" s="12" t="s">
        <v>202</v>
      </c>
      <c r="D93" s="12" t="s">
        <v>202</v>
      </c>
      <c r="E93" s="12" t="s">
        <v>74</v>
      </c>
      <c r="F93" s="12" t="s">
        <v>202</v>
      </c>
      <c r="G93" s="12" t="s">
        <v>49</v>
      </c>
      <c r="H93" s="12">
        <v>0</v>
      </c>
      <c r="I93" s="26">
        <v>6.25</v>
      </c>
    </row>
    <row r="98" spans="1:19">
      <c r="A98" s="6" t="s">
        <v>270</v>
      </c>
      <c r="B98" s="6"/>
      <c r="C98" s="6"/>
      <c r="D98" s="6"/>
      <c r="E98" s="6"/>
      <c r="F98" s="6"/>
    </row>
    <row r="99" spans="1:19">
      <c r="A99" s="1" t="s">
        <v>271</v>
      </c>
      <c r="B99" s="1" t="s">
        <v>255</v>
      </c>
      <c r="C99" s="1" t="s">
        <v>247</v>
      </c>
      <c r="D99" s="1" t="s">
        <v>248</v>
      </c>
      <c r="E99" s="1" t="s">
        <v>249</v>
      </c>
      <c r="F99" s="1" t="s">
        <v>250</v>
      </c>
    </row>
    <row r="100" spans="1:19">
      <c r="A100" s="7" t="s">
        <v>26</v>
      </c>
      <c r="B100" s="7">
        <v>48</v>
      </c>
      <c r="C100" s="7">
        <v>11</v>
      </c>
      <c r="D100" s="7">
        <v>37</v>
      </c>
      <c r="E100" s="27">
        <v>22.91666666666666</v>
      </c>
      <c r="F100" s="27">
        <v>77.08333333333334</v>
      </c>
    </row>
    <row r="104" spans="1:19">
      <c r="A104" s="6" t="s">
        <v>272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</row>
    <row r="105" spans="1:19">
      <c r="A105" s="1" t="s">
        <v>273</v>
      </c>
      <c r="B105" s="1" t="s">
        <v>5</v>
      </c>
      <c r="C105" s="1" t="s">
        <v>274</v>
      </c>
      <c r="D105" s="1" t="s">
        <v>275</v>
      </c>
      <c r="E105" s="1" t="s">
        <v>256</v>
      </c>
      <c r="F105" s="1" t="s">
        <v>257</v>
      </c>
      <c r="G105" s="1" t="s">
        <v>192</v>
      </c>
      <c r="H105" s="1" t="s">
        <v>193</v>
      </c>
      <c r="I105" s="1" t="s">
        <v>194</v>
      </c>
      <c r="J105" s="1" t="s">
        <v>195</v>
      </c>
      <c r="K105" s="1" t="s">
        <v>83</v>
      </c>
      <c r="L105" s="1" t="s">
        <v>74</v>
      </c>
      <c r="M105" s="1" t="s">
        <v>59</v>
      </c>
      <c r="N105" s="1" t="s">
        <v>49</v>
      </c>
      <c r="O105" s="1" t="s">
        <v>18</v>
      </c>
      <c r="P105" s="1" t="s">
        <v>13</v>
      </c>
      <c r="Q105" s="1" t="s">
        <v>197</v>
      </c>
      <c r="R105" s="1" t="s">
        <v>198</v>
      </c>
      <c r="S105" s="1" t="s">
        <v>199</v>
      </c>
    </row>
    <row r="106" spans="1:19">
      <c r="A106" s="7" t="s">
        <v>15</v>
      </c>
      <c r="B106" s="7" t="s">
        <v>15</v>
      </c>
      <c r="C106" s="28">
        <v>21.05263157894737</v>
      </c>
      <c r="D106" s="28">
        <v>78.94736842105263</v>
      </c>
      <c r="E106" s="7">
        <v>4</v>
      </c>
      <c r="F106" s="7">
        <v>15</v>
      </c>
      <c r="G106" s="7">
        <v>0</v>
      </c>
      <c r="H106" s="7">
        <v>0</v>
      </c>
      <c r="I106" s="7">
        <v>0</v>
      </c>
      <c r="J106" s="7">
        <v>0</v>
      </c>
      <c r="K106" s="7">
        <v>0</v>
      </c>
      <c r="L106" s="7">
        <v>0</v>
      </c>
      <c r="M106" s="7">
        <v>2</v>
      </c>
      <c r="N106" s="7">
        <v>0</v>
      </c>
      <c r="O106" s="7">
        <v>2</v>
      </c>
      <c r="P106" s="7">
        <v>11</v>
      </c>
      <c r="Q106" s="7">
        <v>0</v>
      </c>
      <c r="R106" s="7">
        <v>3</v>
      </c>
      <c r="S106" s="7">
        <v>1</v>
      </c>
    </row>
    <row r="107" spans="1:19">
      <c r="A107" s="12" t="s">
        <v>17</v>
      </c>
      <c r="B107" s="12" t="s">
        <v>17</v>
      </c>
      <c r="C107" s="29">
        <v>60</v>
      </c>
      <c r="D107" s="29">
        <v>40</v>
      </c>
      <c r="E107" s="12">
        <v>6</v>
      </c>
      <c r="F107" s="12">
        <v>4</v>
      </c>
      <c r="G107" s="12">
        <v>0</v>
      </c>
      <c r="H107" s="12">
        <v>0</v>
      </c>
      <c r="I107" s="12">
        <v>0</v>
      </c>
      <c r="J107" s="12">
        <v>0</v>
      </c>
      <c r="K107" s="12">
        <v>1</v>
      </c>
      <c r="L107" s="12">
        <v>1</v>
      </c>
      <c r="M107" s="12">
        <v>0</v>
      </c>
      <c r="N107" s="12">
        <v>3</v>
      </c>
      <c r="O107" s="12">
        <v>1</v>
      </c>
      <c r="P107" s="12">
        <v>2</v>
      </c>
      <c r="Q107" s="12">
        <v>0</v>
      </c>
      <c r="R107" s="12">
        <v>1</v>
      </c>
      <c r="S107" s="12">
        <v>1</v>
      </c>
    </row>
    <row r="108" spans="1:19">
      <c r="A108" s="7" t="s">
        <v>12</v>
      </c>
      <c r="B108" s="7" t="s">
        <v>12</v>
      </c>
      <c r="C108" s="28">
        <v>14.28571428571428</v>
      </c>
      <c r="D108" s="28">
        <v>85.71428571428572</v>
      </c>
      <c r="E108" s="7">
        <v>1</v>
      </c>
      <c r="F108" s="7">
        <v>6</v>
      </c>
      <c r="G108" s="7">
        <v>0</v>
      </c>
      <c r="H108" s="7">
        <v>0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1</v>
      </c>
      <c r="P108" s="7">
        <v>2</v>
      </c>
      <c r="Q108" s="7">
        <v>0</v>
      </c>
      <c r="R108" s="7">
        <v>3</v>
      </c>
      <c r="S108" s="7">
        <v>1</v>
      </c>
    </row>
    <row r="109" spans="1:19">
      <c r="A109" s="12" t="s">
        <v>30</v>
      </c>
      <c r="B109" s="12" t="s">
        <v>31</v>
      </c>
      <c r="C109" s="29">
        <v>38.46153846153847</v>
      </c>
      <c r="D109" s="29">
        <v>61.53846153846153</v>
      </c>
      <c r="E109" s="12">
        <v>10</v>
      </c>
      <c r="F109" s="12">
        <v>16</v>
      </c>
      <c r="G109" s="12">
        <v>0</v>
      </c>
      <c r="H109" s="12">
        <v>0</v>
      </c>
      <c r="I109" s="12">
        <v>0</v>
      </c>
      <c r="J109" s="12">
        <v>0</v>
      </c>
      <c r="K109" s="12">
        <v>1</v>
      </c>
      <c r="L109" s="12">
        <v>2</v>
      </c>
      <c r="M109" s="12">
        <v>0</v>
      </c>
      <c r="N109" s="12">
        <v>2</v>
      </c>
      <c r="O109" s="12">
        <v>5</v>
      </c>
      <c r="P109" s="12">
        <v>14</v>
      </c>
      <c r="Q109" s="12">
        <v>0</v>
      </c>
      <c r="R109" s="12">
        <v>2</v>
      </c>
      <c r="S109" s="12">
        <v>0</v>
      </c>
    </row>
    <row r="110" spans="1:19">
      <c r="A110" s="7" t="s">
        <v>32</v>
      </c>
      <c r="B110" s="7" t="s">
        <v>33</v>
      </c>
      <c r="C110" s="28">
        <v>14.28571428571428</v>
      </c>
      <c r="D110" s="28">
        <v>85.71428571428572</v>
      </c>
      <c r="E110" s="7">
        <v>2</v>
      </c>
      <c r="F110" s="7">
        <v>12</v>
      </c>
      <c r="G110" s="7">
        <v>0</v>
      </c>
      <c r="H110" s="7">
        <v>0</v>
      </c>
      <c r="I110" s="7">
        <v>0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2</v>
      </c>
      <c r="P110" s="7">
        <v>8</v>
      </c>
      <c r="Q110" s="7">
        <v>0</v>
      </c>
      <c r="R110" s="7">
        <v>3</v>
      </c>
      <c r="S110" s="7">
        <v>1</v>
      </c>
    </row>
    <row r="111" spans="1:19">
      <c r="A111" s="12" t="s">
        <v>27</v>
      </c>
      <c r="B111" s="12" t="s">
        <v>28</v>
      </c>
      <c r="C111" s="29">
        <v>26.82926829268293</v>
      </c>
      <c r="D111" s="29">
        <v>73.17073170731707</v>
      </c>
      <c r="E111" s="12">
        <v>11</v>
      </c>
      <c r="F111" s="12">
        <v>30</v>
      </c>
      <c r="G111" s="12">
        <v>0</v>
      </c>
      <c r="H111" s="12">
        <v>0</v>
      </c>
      <c r="I111" s="12">
        <v>0</v>
      </c>
      <c r="J111" s="12">
        <v>0</v>
      </c>
      <c r="K111" s="12">
        <v>0</v>
      </c>
      <c r="L111" s="12">
        <v>0</v>
      </c>
      <c r="M111" s="12">
        <v>2</v>
      </c>
      <c r="N111" s="12">
        <v>5</v>
      </c>
      <c r="O111" s="12">
        <v>4</v>
      </c>
      <c r="P111" s="12">
        <v>26</v>
      </c>
      <c r="Q111" s="12">
        <v>0</v>
      </c>
      <c r="R111" s="12">
        <v>3</v>
      </c>
      <c r="S111" s="12">
        <v>1</v>
      </c>
    </row>
    <row r="501" spans="52:53">
      <c r="AZ501">
        <f>"CS_"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_DATA_!$A$2:$AZ$38, 7, FALSE), 0)</f>
        <v>0</v>
      </c>
    </row>
    <row r="507" spans="52:53">
      <c r="AZ507">
        <f>"A+ - " &amp; TEXT($BA$507/MAX($BA$521, 1), "0%")</f>
        <v>0</v>
      </c>
      <c r="BA507">
        <f>IFERROR(VLOOKUP($AZ$501, _DATA_!$A$2:$AZ$38, 8, FALSE), 0)</f>
        <v>0</v>
      </c>
    </row>
    <row r="508" spans="52:53">
      <c r="AZ508">
        <f>"A - " &amp; TEXT($BA$508/MAX($BA$521, 1), "0%")</f>
        <v>0</v>
      </c>
      <c r="BA508">
        <f>IFERROR(VLOOKUP($AZ$501, _DATA_!$A$2:$AZ$38, 9, FALSE), 0)</f>
        <v>0</v>
      </c>
    </row>
    <row r="509" spans="52:53">
      <c r="AZ509">
        <f>"B+ - " &amp; TEXT($BA$509/MAX($BA$521, 1), "0%")</f>
        <v>0</v>
      </c>
      <c r="BA509">
        <f>IFERROR(VLOOKUP($AZ$501, _DATA_!$A$2:$AZ$38, 10, FALSE), 0)</f>
        <v>0</v>
      </c>
    </row>
    <row r="510" spans="52:53">
      <c r="AZ510">
        <f>"B - " &amp; TEXT($BA$510/MAX($BA$521, 1), "0%")</f>
        <v>0</v>
      </c>
      <c r="BA510">
        <f>IFERROR(VLOOKUP($AZ$501, _DATA_!$A$2:$AZ$38, 11, FALSE), 0)</f>
        <v>0</v>
      </c>
    </row>
    <row r="511" spans="52:53">
      <c r="AZ511">
        <f>"C+ - " &amp; TEXT($BA$511/MAX($BA$521, 1), "0%")</f>
        <v>0</v>
      </c>
      <c r="BA511">
        <f>IFERROR(VLOOKUP($AZ$501, _DATA_!$A$2:$AZ$38, 12, FALSE), 0)</f>
        <v>0</v>
      </c>
    </row>
    <row r="512" spans="52:53">
      <c r="AZ512">
        <f>"C - " &amp; TEXT($BA$512/MAX($BA$521, 1), "0%")</f>
        <v>0</v>
      </c>
      <c r="BA512">
        <f>IFERROR(VLOOKUP($AZ$501, _DATA_!$A$2:$AZ$38, 13, FALSE), 0)</f>
        <v>0</v>
      </c>
    </row>
    <row r="513" spans="52:53">
      <c r="AZ513">
        <f>"D - " &amp; TEXT($BA$513/MAX($BA$521, 1), "0%")</f>
        <v>0</v>
      </c>
      <c r="BA513">
        <f>IFERROR(VLOOKUP($AZ$501, _DATA_!$A$2:$AZ$38, 14, FALSE), 0)</f>
        <v>0</v>
      </c>
    </row>
    <row r="514" spans="52:53">
      <c r="AZ514">
        <f>"P - " &amp; TEXT($BA$514/MAX($BA$521, 1), "0%")</f>
        <v>0</v>
      </c>
      <c r="BA514">
        <f>IFERROR(VLOOKUP($AZ$501, _DATA_!$A$2:$AZ$38, 15, FALSE), 0)</f>
        <v>0</v>
      </c>
    </row>
    <row r="515" spans="52:53">
      <c r="AZ515">
        <f>"PASS - " &amp; TEXT($BA$515/MAX($BA$521, 1), "0%")</f>
        <v>0</v>
      </c>
      <c r="BA515">
        <f>IFERROR(VLOOKUP($AZ$501, _DATA_!$A$2:$AZ$38, 16, FALSE), 0)</f>
        <v>0</v>
      </c>
    </row>
    <row r="516" spans="52:53">
      <c r="AZ516">
        <f>"F - " &amp; TEXT($BA$516/MAX($BA$521, 1), "0%")</f>
        <v>0</v>
      </c>
      <c r="BA516">
        <f>IFERROR(VLOOKUP($AZ$501, _DATA_!$A$2:$AZ$38, 17, FALSE), 0)</f>
        <v>0</v>
      </c>
    </row>
    <row r="517" spans="52:53">
      <c r="AZ517">
        <f>"FE - " &amp; TEXT($BA$517/MAX($BA$521, 1), "0%")</f>
        <v>0</v>
      </c>
      <c r="BA517">
        <f>IFERROR(VLOOKUP($AZ$501, _DATA_!$A$2:$AZ$38,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_DATA_!$A$2:$AZ$38,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_DATA_!$A$2:$AZ$38, 20, FALSE), 0)</f>
        <v>0</v>
      </c>
    </row>
    <row r="521" spans="52:53">
      <c r="AZ521" t="s">
        <v>187</v>
      </c>
      <c r="BA521">
        <f>IFERROR(VLOOKUP($AZ$501, _DATA_!$A$2:$T$38, 2, FALSE), 0)</f>
        <v>0</v>
      </c>
    </row>
    <row r="522" spans="52:53">
      <c r="AZ522" t="s">
        <v>188</v>
      </c>
      <c r="BA522">
        <f>IFERROR(VLOOKUP($AZ$501, _DATA_!$A$2:$T$38, 3, FALSE), 0)</f>
        <v>0</v>
      </c>
    </row>
    <row r="523" spans="52:53">
      <c r="AZ523" t="s">
        <v>189</v>
      </c>
      <c r="BA523">
        <f>IFERROR(VLOOKUP($AZ$501, _DATA_!$A$2:$T$38, 4, FALSE), 0)</f>
        <v>0</v>
      </c>
    </row>
  </sheetData>
  <mergeCells count="20">
    <mergeCell ref="A1:Q1"/>
    <mergeCell ref="A2:Q2"/>
    <mergeCell ref="A3:Q3"/>
    <mergeCell ref="A4:Q4"/>
    <mergeCell ref="A5:Q5"/>
    <mergeCell ref="A7:L7"/>
    <mergeCell ref="B10:C10"/>
    <mergeCell ref="B11:C12"/>
    <mergeCell ref="D10:F10"/>
    <mergeCell ref="D11:F12"/>
    <mergeCell ref="G10:H10"/>
    <mergeCell ref="G11:H12"/>
    <mergeCell ref="I10:J10"/>
    <mergeCell ref="I11:J12"/>
    <mergeCell ref="K10:L10"/>
    <mergeCell ref="K11:L12"/>
    <mergeCell ref="A32:G32"/>
    <mergeCell ref="A44:I44"/>
    <mergeCell ref="A98:F98"/>
    <mergeCell ref="A104:S104"/>
  </mergeCells>
  <conditionalFormatting sqref="A34:G39">
    <cfRule type="containsText" dxfId="1" priority="1" operator="containsText" text="F">
      <formula>NOT(ISERROR(SEARCH("F",A34)))</formula>
    </cfRule>
    <cfRule type="containsText" dxfId="1" priority="2" operator="containsText" text="FE">
      <formula>NOT(ISERROR(SEARCH("FE",A34)))</formula>
    </cfRule>
    <cfRule type="containsText" dxfId="1" priority="3" operator="containsText" text="ABSENT">
      <formula>NOT(ISERROR(SEARCH("ABSENT",A34)))</formula>
    </cfRule>
    <cfRule type="containsText" dxfId="1" priority="4" operator="containsText" text="AB">
      <formula>NOT(ISERROR(SEARCH("AB",A34)))</formula>
    </cfRule>
    <cfRule type="containsText" dxfId="1" priority="5" operator="containsText" text="WITHHELD">
      <formula>NOT(ISERROR(SEARCH("WITHHELD",A34)))</formula>
    </cfRule>
    <cfRule type="containsText" dxfId="1" priority="6" operator="containsText" text="I">
      <formula>NOT(ISERROR(SEARCH("I",A34)))</formula>
    </cfRule>
  </conditionalFormatting>
  <conditionalFormatting sqref="A46:I93">
    <cfRule type="containsText" dxfId="1" priority="11" operator="containsText" text="F">
      <formula>NOT(ISERROR(SEARCH("F",A46)))</formula>
    </cfRule>
    <cfRule type="containsText" dxfId="1" priority="12" operator="containsText" text="FE">
      <formula>NOT(ISERROR(SEARCH("FE",A46)))</formula>
    </cfRule>
    <cfRule type="containsText" dxfId="1" priority="13" operator="containsText" text="ABSENT">
      <formula>NOT(ISERROR(SEARCH("ABSENT",A46)))</formula>
    </cfRule>
    <cfRule type="containsText" dxfId="1" priority="14" operator="containsText" text="AB">
      <formula>NOT(ISERROR(SEARCH("AB",A46)))</formula>
    </cfRule>
    <cfRule type="containsText" dxfId="1" priority="15" operator="containsText" text="WITHHELD">
      <formula>NOT(ISERROR(SEARCH("WITHHELD",A46)))</formula>
    </cfRule>
    <cfRule type="containsText" dxfId="1" priority="16" operator="containsText" text="I">
      <formula>NOT(ISERROR(SEARCH("I",A46)))</formula>
    </cfRule>
  </conditionalFormatting>
  <conditionalFormatting sqref="C106:C111">
    <cfRule type="cellIs" dxfId="6" priority="22" operator="lessThan">
      <formula>40</formula>
    </cfRule>
  </conditionalFormatting>
  <conditionalFormatting sqref="E100">
    <cfRule type="cellIs" dxfId="6" priority="21" operator="lessThan">
      <formula>40</formula>
    </cfRule>
  </conditionalFormatting>
  <conditionalFormatting sqref="G34:G39">
    <cfRule type="top10" dxfId="2" priority="7" rank="1"/>
    <cfRule type="cellIs" dxfId="3" priority="8" operator="greaterThanOrEqual">
      <formula>8.0</formula>
    </cfRule>
    <cfRule type="cellIs" dxfId="4" priority="9" operator="between">
      <formula>7.5</formula>
      <formula>7.99</formula>
    </cfRule>
    <cfRule type="cellIs" dxfId="5" priority="10" operator="lessThan">
      <formula>7.5</formula>
    </cfRule>
  </conditionalFormatting>
  <conditionalFormatting sqref="I46:I93">
    <cfRule type="top10" dxfId="2" priority="17" rank="1"/>
    <cfRule type="cellIs" dxfId="3" priority="18" operator="greaterThanOrEqual">
      <formula>8.0</formula>
    </cfRule>
    <cfRule type="cellIs" dxfId="4" priority="19" operator="between">
      <formula>7.5</formula>
      <formula>7.99</formula>
    </cfRule>
    <cfRule type="cellIs" dxfId="5" priority="20" operator="lessThan">
      <formula>7.5</formula>
    </cfRule>
  </conditionalFormatting>
  <dataValidations count="1">
    <dataValidation type="list" allowBlank="1" showInputMessage="1" showErrorMessage="1" sqref="B8">
      <formula1>"Department,CST302,CST304,CST306,CST308,CST362,CST372,HUT300"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7" width="15.7109375" customWidth="1"/>
  </cols>
  <sheetData>
    <row r="1" spans="1:17">
      <c r="A1" s="3" t="s">
        <v>259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184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185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6" t="s">
        <v>278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spans="1:17">
      <c r="A5" s="17" t="s">
        <v>279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</row>
    <row r="7" spans="1:17">
      <c r="A7" s="6" t="s">
        <v>262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spans="1:17">
      <c r="A8" s="18" t="s">
        <v>263</v>
      </c>
      <c r="B8" s="19" t="s">
        <v>254</v>
      </c>
    </row>
    <row r="10" spans="1:17">
      <c r="B10" s="20" t="s">
        <v>187</v>
      </c>
      <c r="C10" s="20"/>
      <c r="D10" s="20" t="s">
        <v>188</v>
      </c>
      <c r="E10" s="20"/>
      <c r="F10" s="20"/>
      <c r="G10" s="20" t="s">
        <v>189</v>
      </c>
      <c r="H10" s="20"/>
      <c r="I10" s="20" t="s">
        <v>264</v>
      </c>
      <c r="J10" s="20"/>
      <c r="K10" s="20" t="s">
        <v>265</v>
      </c>
      <c r="L10" s="20"/>
    </row>
    <row r="11" spans="1:17">
      <c r="B11" s="21">
        <f>IFERROR(VLOOKUP("EC_" &amp; UPPER($B$8), _DATA_!$A$2:$AZ$38, 2, FALSE), 0)</f>
        <v>0</v>
      </c>
      <c r="C11" s="21"/>
      <c r="D11" s="22">
        <f>IFERROR(VLOOKUP("EC_" &amp; UPPER($B$8), _DATA_!$A$2:$AZ$38, 3, FALSE), 0)</f>
        <v>0</v>
      </c>
      <c r="E11" s="22"/>
      <c r="F11" s="22"/>
      <c r="G11" s="23">
        <f>IFERROR(VLOOKUP("EC_" &amp; UPPER($B$8), _DATA_!$A$2:$AZ$38, 4, FALSE), 0)</f>
        <v>0</v>
      </c>
      <c r="H11" s="23"/>
      <c r="I11" s="24">
        <f>IFERROR(VLOOKUP("EC_" &amp; UPPER($B$8), _DATA_!$A$2:$AZ$38, 5, FALSE), 0)</f>
        <v>0</v>
      </c>
      <c r="J11" s="24"/>
      <c r="K11" s="24">
        <f>IFERROR(VLOOKUP("EC_" &amp; UPPER($B$8), _DATA_!$A$2:$AZ$38, 6, FALSE), 0)</f>
        <v>0</v>
      </c>
      <c r="L11" s="24"/>
    </row>
    <row r="12" spans="1:17">
      <c r="B12" s="21"/>
      <c r="C12" s="21"/>
      <c r="D12" s="22"/>
      <c r="E12" s="22"/>
      <c r="F12" s="22"/>
      <c r="G12" s="23"/>
      <c r="H12" s="23"/>
      <c r="I12" s="24"/>
      <c r="J12" s="24"/>
      <c r="K12" s="24"/>
      <c r="L12" s="24"/>
    </row>
    <row r="32" spans="1:5">
      <c r="A32" s="6" t="s">
        <v>280</v>
      </c>
      <c r="B32" s="6"/>
      <c r="C32" s="6"/>
      <c r="D32" s="6"/>
      <c r="E32" s="6"/>
    </row>
    <row r="33" spans="1:9">
      <c r="A33" s="1" t="s">
        <v>0</v>
      </c>
      <c r="B33" s="1" t="s">
        <v>87</v>
      </c>
      <c r="C33" s="1" t="s">
        <v>89</v>
      </c>
      <c r="D33" s="1" t="s">
        <v>267</v>
      </c>
      <c r="E33" s="1" t="s">
        <v>7</v>
      </c>
    </row>
    <row r="34" spans="1:9">
      <c r="A34" s="7" t="s">
        <v>85</v>
      </c>
      <c r="B34" s="7" t="s">
        <v>24</v>
      </c>
      <c r="C34" s="7" t="s">
        <v>24</v>
      </c>
      <c r="D34" s="7">
        <v>2</v>
      </c>
      <c r="E34" s="25">
        <v>0</v>
      </c>
    </row>
    <row r="39" spans="1:9">
      <c r="A39" s="6" t="s">
        <v>268</v>
      </c>
      <c r="B39" s="6"/>
      <c r="C39" s="6"/>
      <c r="D39" s="6"/>
    </row>
    <row r="40" spans="1:9">
      <c r="A40" s="1" t="s">
        <v>0</v>
      </c>
      <c r="B40" s="1" t="s">
        <v>89</v>
      </c>
      <c r="C40" s="1" t="s">
        <v>267</v>
      </c>
      <c r="D40" s="1" t="s">
        <v>7</v>
      </c>
    </row>
    <row r="41" spans="1:9">
      <c r="A41" s="7" t="s">
        <v>91</v>
      </c>
      <c r="B41" s="7" t="s">
        <v>13</v>
      </c>
      <c r="C41" s="7">
        <v>1</v>
      </c>
      <c r="D41" s="25">
        <v>0</v>
      </c>
    </row>
    <row r="46" spans="1:9">
      <c r="A46" s="6" t="s">
        <v>269</v>
      </c>
      <c r="B46" s="6"/>
      <c r="C46" s="6"/>
      <c r="D46" s="6"/>
      <c r="E46" s="6"/>
      <c r="F46" s="6"/>
      <c r="G46" s="6"/>
      <c r="H46" s="6"/>
      <c r="I46" s="6"/>
    </row>
    <row r="47" spans="1:9">
      <c r="A47" s="1" t="s">
        <v>0</v>
      </c>
      <c r="B47" s="1" t="s">
        <v>87</v>
      </c>
      <c r="C47" s="1" t="s">
        <v>89</v>
      </c>
      <c r="D47" s="1" t="s">
        <v>96</v>
      </c>
      <c r="E47" s="1" t="s">
        <v>102</v>
      </c>
      <c r="F47" s="1" t="s">
        <v>98</v>
      </c>
      <c r="G47" s="1" t="s">
        <v>94</v>
      </c>
      <c r="H47" s="1" t="s">
        <v>267</v>
      </c>
      <c r="I47" s="1" t="s">
        <v>7</v>
      </c>
    </row>
    <row r="48" spans="1:9">
      <c r="A48" s="7" t="s">
        <v>93</v>
      </c>
      <c r="B48" s="7" t="s">
        <v>202</v>
      </c>
      <c r="C48" s="7" t="s">
        <v>202</v>
      </c>
      <c r="D48" s="7" t="s">
        <v>24</v>
      </c>
      <c r="E48" s="7" t="s">
        <v>202</v>
      </c>
      <c r="F48" s="7" t="s">
        <v>13</v>
      </c>
      <c r="G48" s="7" t="s">
        <v>13</v>
      </c>
      <c r="H48" s="7">
        <v>3</v>
      </c>
      <c r="I48" s="25">
        <v>0</v>
      </c>
    </row>
    <row r="49" spans="1:9">
      <c r="A49" s="12" t="s">
        <v>100</v>
      </c>
      <c r="B49" s="12" t="s">
        <v>202</v>
      </c>
      <c r="C49" s="12" t="s">
        <v>13</v>
      </c>
      <c r="D49" s="12" t="s">
        <v>24</v>
      </c>
      <c r="E49" s="12" t="s">
        <v>202</v>
      </c>
      <c r="F49" s="12" t="s">
        <v>13</v>
      </c>
      <c r="G49" s="12" t="s">
        <v>24</v>
      </c>
      <c r="H49" s="12">
        <v>4</v>
      </c>
      <c r="I49" s="26">
        <v>0</v>
      </c>
    </row>
    <row r="50" spans="1:9">
      <c r="A50" s="7" t="s">
        <v>101</v>
      </c>
      <c r="B50" s="7" t="s">
        <v>202</v>
      </c>
      <c r="C50" s="7" t="s">
        <v>202</v>
      </c>
      <c r="D50" s="7" t="s">
        <v>24</v>
      </c>
      <c r="E50" s="7" t="s">
        <v>13</v>
      </c>
      <c r="F50" s="7" t="s">
        <v>13</v>
      </c>
      <c r="G50" s="7" t="s">
        <v>13</v>
      </c>
      <c r="H50" s="7">
        <v>4</v>
      </c>
      <c r="I50" s="25">
        <v>0</v>
      </c>
    </row>
    <row r="51" spans="1:9">
      <c r="A51" s="12" t="s">
        <v>103</v>
      </c>
      <c r="B51" s="12" t="s">
        <v>202</v>
      </c>
      <c r="C51" s="12" t="s">
        <v>13</v>
      </c>
      <c r="D51" s="12" t="s">
        <v>202</v>
      </c>
      <c r="E51" s="12" t="s">
        <v>202</v>
      </c>
      <c r="F51" s="12" t="s">
        <v>13</v>
      </c>
      <c r="G51" s="12" t="s">
        <v>13</v>
      </c>
      <c r="H51" s="12">
        <v>3</v>
      </c>
      <c r="I51" s="26">
        <v>0</v>
      </c>
    </row>
    <row r="52" spans="1:9">
      <c r="A52" s="7" t="s">
        <v>104</v>
      </c>
      <c r="B52" s="7" t="s">
        <v>13</v>
      </c>
      <c r="C52" s="7" t="s">
        <v>59</v>
      </c>
      <c r="D52" s="7" t="s">
        <v>202</v>
      </c>
      <c r="E52" s="7" t="s">
        <v>202</v>
      </c>
      <c r="F52" s="7" t="s">
        <v>13</v>
      </c>
      <c r="G52" s="7" t="s">
        <v>202</v>
      </c>
      <c r="H52" s="7">
        <v>2</v>
      </c>
      <c r="I52" s="25">
        <v>0</v>
      </c>
    </row>
    <row r="53" spans="1:9">
      <c r="A53" s="12" t="s">
        <v>105</v>
      </c>
      <c r="B53" s="12" t="s">
        <v>13</v>
      </c>
      <c r="C53" s="12" t="s">
        <v>202</v>
      </c>
      <c r="D53" s="12" t="s">
        <v>202</v>
      </c>
      <c r="E53" s="12" t="s">
        <v>202</v>
      </c>
      <c r="F53" s="12" t="s">
        <v>202</v>
      </c>
      <c r="G53" s="12" t="s">
        <v>202</v>
      </c>
      <c r="H53" s="12">
        <v>1</v>
      </c>
      <c r="I53" s="26">
        <v>0</v>
      </c>
    </row>
    <row r="54" spans="1:9">
      <c r="A54" s="7" t="s">
        <v>106</v>
      </c>
      <c r="B54" s="7" t="s">
        <v>202</v>
      </c>
      <c r="C54" s="7" t="s">
        <v>202</v>
      </c>
      <c r="D54" s="7" t="s">
        <v>202</v>
      </c>
      <c r="E54" s="7" t="s">
        <v>202</v>
      </c>
      <c r="F54" s="7" t="s">
        <v>13</v>
      </c>
      <c r="G54" s="7" t="s">
        <v>202</v>
      </c>
      <c r="H54" s="7">
        <v>1</v>
      </c>
      <c r="I54" s="25">
        <v>0</v>
      </c>
    </row>
    <row r="59" spans="1:9">
      <c r="A59" s="6" t="s">
        <v>270</v>
      </c>
      <c r="B59" s="6"/>
      <c r="C59" s="6"/>
      <c r="D59" s="6"/>
      <c r="E59" s="6"/>
      <c r="F59" s="6"/>
    </row>
    <row r="60" spans="1:9">
      <c r="A60" s="1" t="s">
        <v>271</v>
      </c>
      <c r="B60" s="1" t="s">
        <v>255</v>
      </c>
      <c r="C60" s="1" t="s">
        <v>247</v>
      </c>
      <c r="D60" s="1" t="s">
        <v>248</v>
      </c>
      <c r="E60" s="1" t="s">
        <v>249</v>
      </c>
      <c r="F60" s="1" t="s">
        <v>250</v>
      </c>
    </row>
    <row r="61" spans="1:9">
      <c r="A61" s="7" t="s">
        <v>26</v>
      </c>
      <c r="B61" s="7">
        <v>7</v>
      </c>
      <c r="C61" s="7">
        <v>0</v>
      </c>
      <c r="D61" s="7">
        <v>7</v>
      </c>
      <c r="E61" s="27">
        <v>0</v>
      </c>
      <c r="F61" s="27">
        <v>100</v>
      </c>
    </row>
    <row r="65" spans="1:19">
      <c r="A65" s="6" t="s">
        <v>272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</row>
    <row r="66" spans="1:19">
      <c r="A66" s="1" t="s">
        <v>273</v>
      </c>
      <c r="B66" s="1" t="s">
        <v>5</v>
      </c>
      <c r="C66" s="1" t="s">
        <v>274</v>
      </c>
      <c r="D66" s="1" t="s">
        <v>275</v>
      </c>
      <c r="E66" s="1" t="s">
        <v>256</v>
      </c>
      <c r="F66" s="1" t="s">
        <v>257</v>
      </c>
      <c r="G66" s="1" t="s">
        <v>192</v>
      </c>
      <c r="H66" s="1" t="s">
        <v>193</v>
      </c>
      <c r="I66" s="1" t="s">
        <v>194</v>
      </c>
      <c r="J66" s="1" t="s">
        <v>195</v>
      </c>
      <c r="K66" s="1" t="s">
        <v>83</v>
      </c>
      <c r="L66" s="1" t="s">
        <v>74</v>
      </c>
      <c r="M66" s="1" t="s">
        <v>59</v>
      </c>
      <c r="N66" s="1" t="s">
        <v>49</v>
      </c>
      <c r="O66" s="1" t="s">
        <v>18</v>
      </c>
      <c r="P66" s="1" t="s">
        <v>13</v>
      </c>
      <c r="Q66" s="1" t="s">
        <v>197</v>
      </c>
      <c r="R66" s="1" t="s">
        <v>198</v>
      </c>
      <c r="S66" s="1" t="s">
        <v>199</v>
      </c>
    </row>
    <row r="67" spans="1:19">
      <c r="A67" s="7" t="s">
        <v>87</v>
      </c>
      <c r="B67" s="7" t="s">
        <v>88</v>
      </c>
      <c r="C67" s="28">
        <v>0</v>
      </c>
      <c r="D67" s="28">
        <v>100</v>
      </c>
      <c r="E67" s="7">
        <v>0</v>
      </c>
      <c r="F67" s="7">
        <v>2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2</v>
      </c>
      <c r="Q67" s="7">
        <v>0</v>
      </c>
      <c r="R67" s="7">
        <v>0</v>
      </c>
      <c r="S67" s="7">
        <v>0</v>
      </c>
    </row>
    <row r="68" spans="1:19">
      <c r="A68" s="12" t="s">
        <v>89</v>
      </c>
      <c r="B68" s="12" t="s">
        <v>90</v>
      </c>
      <c r="C68" s="29">
        <v>33.33333333333333</v>
      </c>
      <c r="D68" s="29">
        <v>66.66666666666667</v>
      </c>
      <c r="E68" s="12">
        <v>1</v>
      </c>
      <c r="F68" s="12">
        <v>2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1</v>
      </c>
      <c r="N68" s="12">
        <v>0</v>
      </c>
      <c r="O68" s="12">
        <v>0</v>
      </c>
      <c r="P68" s="12">
        <v>2</v>
      </c>
      <c r="Q68" s="12">
        <v>0</v>
      </c>
      <c r="R68" s="12">
        <v>0</v>
      </c>
      <c r="S68" s="12">
        <v>0</v>
      </c>
    </row>
    <row r="69" spans="1:19">
      <c r="A69" s="7" t="s">
        <v>96</v>
      </c>
      <c r="B69" s="7" t="s">
        <v>97</v>
      </c>
      <c r="C69" s="28">
        <v>0</v>
      </c>
      <c r="D69" s="28">
        <v>100</v>
      </c>
      <c r="E69" s="7">
        <v>0</v>
      </c>
      <c r="F69" s="7">
        <v>3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3</v>
      </c>
      <c r="S69" s="7">
        <v>0</v>
      </c>
    </row>
    <row r="70" spans="1:19">
      <c r="A70" s="12" t="s">
        <v>102</v>
      </c>
      <c r="B70" s="12" t="s">
        <v>31</v>
      </c>
      <c r="C70" s="29">
        <v>0</v>
      </c>
      <c r="D70" s="29">
        <v>100</v>
      </c>
      <c r="E70" s="12">
        <v>0</v>
      </c>
      <c r="F70" s="12">
        <v>1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1</v>
      </c>
      <c r="Q70" s="12">
        <v>0</v>
      </c>
      <c r="R70" s="12">
        <v>0</v>
      </c>
      <c r="S70" s="12">
        <v>0</v>
      </c>
    </row>
    <row r="71" spans="1:19">
      <c r="A71" s="7" t="s">
        <v>98</v>
      </c>
      <c r="B71" s="7" t="s">
        <v>99</v>
      </c>
      <c r="C71" s="28">
        <v>0</v>
      </c>
      <c r="D71" s="28">
        <v>100</v>
      </c>
      <c r="E71" s="7">
        <v>0</v>
      </c>
      <c r="F71" s="7">
        <v>6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6</v>
      </c>
      <c r="Q71" s="7">
        <v>0</v>
      </c>
      <c r="R71" s="7">
        <v>0</v>
      </c>
      <c r="S71" s="7">
        <v>0</v>
      </c>
    </row>
    <row r="72" spans="1:19">
      <c r="A72" s="12" t="s">
        <v>94</v>
      </c>
      <c r="B72" s="12" t="s">
        <v>95</v>
      </c>
      <c r="C72" s="29">
        <v>0</v>
      </c>
      <c r="D72" s="29">
        <v>100</v>
      </c>
      <c r="E72" s="12">
        <v>0</v>
      </c>
      <c r="F72" s="12">
        <v>4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3</v>
      </c>
      <c r="Q72" s="12">
        <v>0</v>
      </c>
      <c r="R72" s="12">
        <v>1</v>
      </c>
      <c r="S72" s="12">
        <v>0</v>
      </c>
    </row>
    <row r="501" spans="52:53">
      <c r="AZ501">
        <f>"EC_"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_DATA_!$A$2:$AZ$38, 7, FALSE), 0)</f>
        <v>0</v>
      </c>
    </row>
    <row r="507" spans="52:53">
      <c r="AZ507">
        <f>"A+ - " &amp; TEXT($BA$507/MAX($BA$521, 1), "0%")</f>
        <v>0</v>
      </c>
      <c r="BA507">
        <f>IFERROR(VLOOKUP($AZ$501, _DATA_!$A$2:$AZ$38, 8, FALSE), 0)</f>
        <v>0</v>
      </c>
    </row>
    <row r="508" spans="52:53">
      <c r="AZ508">
        <f>"A - " &amp; TEXT($BA$508/MAX($BA$521, 1), "0%")</f>
        <v>0</v>
      </c>
      <c r="BA508">
        <f>IFERROR(VLOOKUP($AZ$501, _DATA_!$A$2:$AZ$38, 9, FALSE), 0)</f>
        <v>0</v>
      </c>
    </row>
    <row r="509" spans="52:53">
      <c r="AZ509">
        <f>"B+ - " &amp; TEXT($BA$509/MAX($BA$521, 1), "0%")</f>
        <v>0</v>
      </c>
      <c r="BA509">
        <f>IFERROR(VLOOKUP($AZ$501, _DATA_!$A$2:$AZ$38, 10, FALSE), 0)</f>
        <v>0</v>
      </c>
    </row>
    <row r="510" spans="52:53">
      <c r="AZ510">
        <f>"B - " &amp; TEXT($BA$510/MAX($BA$521, 1), "0%")</f>
        <v>0</v>
      </c>
      <c r="BA510">
        <f>IFERROR(VLOOKUP($AZ$501, _DATA_!$A$2:$AZ$38, 11, FALSE), 0)</f>
        <v>0</v>
      </c>
    </row>
    <row r="511" spans="52:53">
      <c r="AZ511">
        <f>"C+ - " &amp; TEXT($BA$511/MAX($BA$521, 1), "0%")</f>
        <v>0</v>
      </c>
      <c r="BA511">
        <f>IFERROR(VLOOKUP($AZ$501, _DATA_!$A$2:$AZ$38, 12, FALSE), 0)</f>
        <v>0</v>
      </c>
    </row>
    <row r="512" spans="52:53">
      <c r="AZ512">
        <f>"C - " &amp; TEXT($BA$512/MAX($BA$521, 1), "0%")</f>
        <v>0</v>
      </c>
      <c r="BA512">
        <f>IFERROR(VLOOKUP($AZ$501, _DATA_!$A$2:$AZ$38, 13, FALSE), 0)</f>
        <v>0</v>
      </c>
    </row>
    <row r="513" spans="52:53">
      <c r="AZ513">
        <f>"D - " &amp; TEXT($BA$513/MAX($BA$521, 1), "0%")</f>
        <v>0</v>
      </c>
      <c r="BA513">
        <f>IFERROR(VLOOKUP($AZ$501, _DATA_!$A$2:$AZ$38, 14, FALSE), 0)</f>
        <v>0</v>
      </c>
    </row>
    <row r="514" spans="52:53">
      <c r="AZ514">
        <f>"P - " &amp; TEXT($BA$514/MAX($BA$521, 1), "0%")</f>
        <v>0</v>
      </c>
      <c r="BA514">
        <f>IFERROR(VLOOKUP($AZ$501, _DATA_!$A$2:$AZ$38, 15, FALSE), 0)</f>
        <v>0</v>
      </c>
    </row>
    <row r="515" spans="52:53">
      <c r="AZ515">
        <f>"PASS - " &amp; TEXT($BA$515/MAX($BA$521, 1), "0%")</f>
        <v>0</v>
      </c>
      <c r="BA515">
        <f>IFERROR(VLOOKUP($AZ$501, _DATA_!$A$2:$AZ$38, 16, FALSE), 0)</f>
        <v>0</v>
      </c>
    </row>
    <row r="516" spans="52:53">
      <c r="AZ516">
        <f>"F - " &amp; TEXT($BA$516/MAX($BA$521, 1), "0%")</f>
        <v>0</v>
      </c>
      <c r="BA516">
        <f>IFERROR(VLOOKUP($AZ$501, _DATA_!$A$2:$AZ$38, 17, FALSE), 0)</f>
        <v>0</v>
      </c>
    </row>
    <row r="517" spans="52:53">
      <c r="AZ517">
        <f>"FE - " &amp; TEXT($BA$517/MAX($BA$521, 1), "0%")</f>
        <v>0</v>
      </c>
      <c r="BA517">
        <f>IFERROR(VLOOKUP($AZ$501, _DATA_!$A$2:$AZ$38,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_DATA_!$A$2:$AZ$38,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_DATA_!$A$2:$AZ$38, 20, FALSE), 0)</f>
        <v>0</v>
      </c>
    </row>
    <row r="521" spans="52:53">
      <c r="AZ521" t="s">
        <v>187</v>
      </c>
      <c r="BA521">
        <f>IFERROR(VLOOKUP($AZ$501, _DATA_!$A$2:$T$38, 2, FALSE), 0)</f>
        <v>0</v>
      </c>
    </row>
    <row r="522" spans="52:53">
      <c r="AZ522" t="s">
        <v>188</v>
      </c>
      <c r="BA522">
        <f>IFERROR(VLOOKUP($AZ$501, _DATA_!$A$2:$T$38, 3, FALSE), 0)</f>
        <v>0</v>
      </c>
    </row>
    <row r="523" spans="52:53">
      <c r="AZ523" t="s">
        <v>189</v>
      </c>
      <c r="BA523">
        <f>IFERROR(VLOOKUP($AZ$501, _DATA_!$A$2:$T$38, 4, FALSE), 0)</f>
        <v>0</v>
      </c>
    </row>
  </sheetData>
  <mergeCells count="21">
    <mergeCell ref="A1:Q1"/>
    <mergeCell ref="A2:Q2"/>
    <mergeCell ref="A3:Q3"/>
    <mergeCell ref="A4:Q4"/>
    <mergeCell ref="A5:Q5"/>
    <mergeCell ref="A7:L7"/>
    <mergeCell ref="B10:C10"/>
    <mergeCell ref="B11:C12"/>
    <mergeCell ref="D10:F10"/>
    <mergeCell ref="D11:F12"/>
    <mergeCell ref="G10:H10"/>
    <mergeCell ref="G11:H12"/>
    <mergeCell ref="I10:J10"/>
    <mergeCell ref="I11:J12"/>
    <mergeCell ref="K10:L10"/>
    <mergeCell ref="K11:L12"/>
    <mergeCell ref="A32:E32"/>
    <mergeCell ref="A39:D39"/>
    <mergeCell ref="A46:I46"/>
    <mergeCell ref="A59:F59"/>
    <mergeCell ref="A65:S65"/>
  </mergeCells>
  <conditionalFormatting sqref="A34:E34">
    <cfRule type="containsText" dxfId="1" priority="1" operator="containsText" text="F">
      <formula>NOT(ISERROR(SEARCH("F",A34)))</formula>
    </cfRule>
    <cfRule type="containsText" dxfId="1" priority="2" operator="containsText" text="FE">
      <formula>NOT(ISERROR(SEARCH("FE",A34)))</formula>
    </cfRule>
    <cfRule type="containsText" dxfId="1" priority="3" operator="containsText" text="ABSENT">
      <formula>NOT(ISERROR(SEARCH("ABSENT",A34)))</formula>
    </cfRule>
    <cfRule type="containsText" dxfId="1" priority="4" operator="containsText" text="AB">
      <formula>NOT(ISERROR(SEARCH("AB",A34)))</formula>
    </cfRule>
    <cfRule type="containsText" dxfId="1" priority="5" operator="containsText" text="WITHHELD">
      <formula>NOT(ISERROR(SEARCH("WITHHELD",A34)))</formula>
    </cfRule>
    <cfRule type="containsText" dxfId="1" priority="6" operator="containsText" text="I">
      <formula>NOT(ISERROR(SEARCH("I",A34)))</formula>
    </cfRule>
  </conditionalFormatting>
  <conditionalFormatting sqref="A41:D41">
    <cfRule type="containsText" dxfId="1" priority="11" operator="containsText" text="F">
      <formula>NOT(ISERROR(SEARCH("F",A41)))</formula>
    </cfRule>
    <cfRule type="containsText" dxfId="1" priority="12" operator="containsText" text="FE">
      <formula>NOT(ISERROR(SEARCH("FE",A41)))</formula>
    </cfRule>
    <cfRule type="containsText" dxfId="1" priority="13" operator="containsText" text="ABSENT">
      <formula>NOT(ISERROR(SEARCH("ABSENT",A41)))</formula>
    </cfRule>
    <cfRule type="containsText" dxfId="1" priority="14" operator="containsText" text="AB">
      <formula>NOT(ISERROR(SEARCH("AB",A41)))</formula>
    </cfRule>
    <cfRule type="containsText" dxfId="1" priority="15" operator="containsText" text="WITHHELD">
      <formula>NOT(ISERROR(SEARCH("WITHHELD",A41)))</formula>
    </cfRule>
    <cfRule type="containsText" dxfId="1" priority="16" operator="containsText" text="I">
      <formula>NOT(ISERROR(SEARCH("I",A41)))</formula>
    </cfRule>
  </conditionalFormatting>
  <conditionalFormatting sqref="A48:I54">
    <cfRule type="containsText" dxfId="1" priority="21" operator="containsText" text="F">
      <formula>NOT(ISERROR(SEARCH("F",A48)))</formula>
    </cfRule>
    <cfRule type="containsText" dxfId="1" priority="22" operator="containsText" text="FE">
      <formula>NOT(ISERROR(SEARCH("FE",A48)))</formula>
    </cfRule>
    <cfRule type="containsText" dxfId="1" priority="23" operator="containsText" text="ABSENT">
      <formula>NOT(ISERROR(SEARCH("ABSENT",A48)))</formula>
    </cfRule>
    <cfRule type="containsText" dxfId="1" priority="24" operator="containsText" text="AB">
      <formula>NOT(ISERROR(SEARCH("AB",A48)))</formula>
    </cfRule>
    <cfRule type="containsText" dxfId="1" priority="25" operator="containsText" text="WITHHELD">
      <formula>NOT(ISERROR(SEARCH("WITHHELD",A48)))</formula>
    </cfRule>
    <cfRule type="containsText" dxfId="1" priority="26" operator="containsText" text="I">
      <formula>NOT(ISERROR(SEARCH("I",A48)))</formula>
    </cfRule>
  </conditionalFormatting>
  <conditionalFormatting sqref="C67:C72">
    <cfRule type="cellIs" dxfId="6" priority="32" operator="lessThan">
      <formula>40</formula>
    </cfRule>
  </conditionalFormatting>
  <conditionalFormatting sqref="D41">
    <cfRule type="top10" dxfId="2" priority="17" rank="1"/>
    <cfRule type="cellIs" dxfId="3" priority="18" operator="greaterThanOrEqual">
      <formula>8.0</formula>
    </cfRule>
    <cfRule type="cellIs" dxfId="4" priority="19" operator="between">
      <formula>7.5</formula>
      <formula>7.99</formula>
    </cfRule>
    <cfRule type="cellIs" dxfId="5" priority="20" operator="lessThan">
      <formula>7.5</formula>
    </cfRule>
  </conditionalFormatting>
  <conditionalFormatting sqref="E34">
    <cfRule type="top10" dxfId="2" priority="7" rank="1"/>
    <cfRule type="cellIs" dxfId="3" priority="8" operator="greaterThanOrEqual">
      <formula>8.0</formula>
    </cfRule>
    <cfRule type="cellIs" dxfId="4" priority="9" operator="between">
      <formula>7.5</formula>
      <formula>7.99</formula>
    </cfRule>
    <cfRule type="cellIs" dxfId="5" priority="10" operator="lessThan">
      <formula>7.5</formula>
    </cfRule>
  </conditionalFormatting>
  <conditionalFormatting sqref="E61">
    <cfRule type="cellIs" dxfId="6" priority="31" operator="lessThan">
      <formula>40</formula>
    </cfRule>
  </conditionalFormatting>
  <conditionalFormatting sqref="I48:I54">
    <cfRule type="top10" dxfId="2" priority="27" rank="1"/>
    <cfRule type="cellIs" dxfId="3" priority="28" operator="greaterThanOrEqual">
      <formula>8.0</formula>
    </cfRule>
    <cfRule type="cellIs" dxfId="4" priority="29" operator="between">
      <formula>7.5</formula>
      <formula>7.99</formula>
    </cfRule>
    <cfRule type="cellIs" dxfId="5" priority="30" operator="lessThan">
      <formula>7.5</formula>
    </cfRule>
  </conditionalFormatting>
  <dataValidations count="1">
    <dataValidation type="list" allowBlank="1" showInputMessage="1" showErrorMessage="1" sqref="B8">
      <formula1>"Department,ECT302,ECT304,ECT306,ECT308,ECT362,HUT310"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7" width="15.7109375" customWidth="1"/>
  </cols>
  <sheetData>
    <row r="1" spans="1:17">
      <c r="A1" s="3" t="s">
        <v>259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184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185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6" t="s">
        <v>281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spans="1:17">
      <c r="A5" s="17" t="s">
        <v>282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</row>
    <row r="7" spans="1:17">
      <c r="A7" s="6" t="s">
        <v>262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spans="1:17">
      <c r="A8" s="18" t="s">
        <v>263</v>
      </c>
      <c r="B8" s="19" t="s">
        <v>254</v>
      </c>
    </row>
    <row r="10" spans="1:17">
      <c r="B10" s="20" t="s">
        <v>187</v>
      </c>
      <c r="C10" s="20"/>
      <c r="D10" s="20" t="s">
        <v>188</v>
      </c>
      <c r="E10" s="20"/>
      <c r="F10" s="20"/>
      <c r="G10" s="20" t="s">
        <v>189</v>
      </c>
      <c r="H10" s="20"/>
      <c r="I10" s="20" t="s">
        <v>264</v>
      </c>
      <c r="J10" s="20"/>
      <c r="K10" s="20" t="s">
        <v>265</v>
      </c>
      <c r="L10" s="20"/>
    </row>
    <row r="11" spans="1:17">
      <c r="B11" s="21">
        <f>IFERROR(VLOOKUP("EE_" &amp; UPPER($B$8), _DATA_!$A$2:$AZ$38, 2, FALSE), 0)</f>
        <v>0</v>
      </c>
      <c r="C11" s="21"/>
      <c r="D11" s="22">
        <f>IFERROR(VLOOKUP("EE_" &amp; UPPER($B$8), _DATA_!$A$2:$AZ$38, 3, FALSE), 0)</f>
        <v>0</v>
      </c>
      <c r="E11" s="22"/>
      <c r="F11" s="22"/>
      <c r="G11" s="23">
        <f>IFERROR(VLOOKUP("EE_" &amp; UPPER($B$8), _DATA_!$A$2:$AZ$38, 4, FALSE), 0)</f>
        <v>0</v>
      </c>
      <c r="H11" s="23"/>
      <c r="I11" s="24">
        <f>IFERROR(VLOOKUP("EE_" &amp; UPPER($B$8), _DATA_!$A$2:$AZ$38, 5, FALSE), 0)</f>
        <v>0</v>
      </c>
      <c r="J11" s="24"/>
      <c r="K11" s="24">
        <f>IFERROR(VLOOKUP("EE_" &amp; UPPER($B$8), _DATA_!$A$2:$AZ$38, 6, FALSE), 0)</f>
        <v>0</v>
      </c>
      <c r="L11" s="24"/>
    </row>
    <row r="12" spans="1:17">
      <c r="B12" s="21"/>
      <c r="C12" s="21"/>
      <c r="D12" s="22"/>
      <c r="E12" s="22"/>
      <c r="F12" s="22"/>
      <c r="G12" s="23"/>
      <c r="H12" s="23"/>
      <c r="I12" s="24"/>
      <c r="J12" s="24"/>
      <c r="K12" s="24"/>
      <c r="L12" s="24"/>
    </row>
    <row r="32" spans="1:6">
      <c r="A32" s="6" t="s">
        <v>280</v>
      </c>
      <c r="B32" s="6"/>
      <c r="C32" s="6"/>
      <c r="D32" s="6"/>
      <c r="E32" s="6"/>
      <c r="F32" s="6"/>
    </row>
    <row r="33" spans="1:6">
      <c r="A33" s="1" t="s">
        <v>0</v>
      </c>
      <c r="B33" s="1" t="s">
        <v>112</v>
      </c>
      <c r="C33" s="1" t="s">
        <v>109</v>
      </c>
      <c r="D33" s="1" t="s">
        <v>114</v>
      </c>
      <c r="E33" s="1" t="s">
        <v>267</v>
      </c>
      <c r="F33" s="1" t="s">
        <v>7</v>
      </c>
    </row>
    <row r="34" spans="1:6">
      <c r="A34" s="7" t="s">
        <v>107</v>
      </c>
      <c r="B34" s="7" t="s">
        <v>202</v>
      </c>
      <c r="C34" s="7" t="s">
        <v>13</v>
      </c>
      <c r="D34" s="7" t="s">
        <v>202</v>
      </c>
      <c r="E34" s="7">
        <v>1</v>
      </c>
      <c r="F34" s="25">
        <v>0</v>
      </c>
    </row>
    <row r="35" spans="1:6">
      <c r="A35" s="12" t="s">
        <v>111</v>
      </c>
      <c r="B35" s="12" t="s">
        <v>13</v>
      </c>
      <c r="C35" s="12" t="s">
        <v>13</v>
      </c>
      <c r="D35" s="12" t="s">
        <v>13</v>
      </c>
      <c r="E35" s="12">
        <v>3</v>
      </c>
      <c r="F35" s="26">
        <v>0</v>
      </c>
    </row>
    <row r="40" spans="1:6">
      <c r="A40" s="6" t="s">
        <v>266</v>
      </c>
      <c r="B40" s="6"/>
      <c r="C40" s="6"/>
      <c r="D40" s="6"/>
      <c r="E40" s="6"/>
      <c r="F40" s="6"/>
    </row>
    <row r="41" spans="1:6">
      <c r="A41" s="1" t="s">
        <v>0</v>
      </c>
      <c r="B41" s="1" t="s">
        <v>112</v>
      </c>
      <c r="C41" s="1" t="s">
        <v>109</v>
      </c>
      <c r="D41" s="1" t="s">
        <v>117</v>
      </c>
      <c r="E41" s="1" t="s">
        <v>267</v>
      </c>
      <c r="F41" s="1" t="s">
        <v>7</v>
      </c>
    </row>
    <row r="42" spans="1:6">
      <c r="A42" s="7" t="s">
        <v>116</v>
      </c>
      <c r="B42" s="7" t="s">
        <v>13</v>
      </c>
      <c r="C42" s="7" t="s">
        <v>13</v>
      </c>
      <c r="D42" s="7" t="s">
        <v>18</v>
      </c>
      <c r="E42" s="7">
        <v>2</v>
      </c>
      <c r="F42" s="25">
        <v>0</v>
      </c>
    </row>
    <row r="47" spans="1:6">
      <c r="A47" s="6" t="s">
        <v>268</v>
      </c>
      <c r="B47" s="6"/>
      <c r="C47" s="6"/>
      <c r="D47" s="6"/>
      <c r="E47" s="6"/>
    </row>
    <row r="48" spans="1:6">
      <c r="A48" s="1" t="s">
        <v>0</v>
      </c>
      <c r="B48" s="1" t="s">
        <v>112</v>
      </c>
      <c r="C48" s="1" t="s">
        <v>109</v>
      </c>
      <c r="D48" s="1" t="s">
        <v>267</v>
      </c>
      <c r="E48" s="1" t="s">
        <v>7</v>
      </c>
    </row>
    <row r="49" spans="1:9">
      <c r="A49" s="7" t="s">
        <v>118</v>
      </c>
      <c r="B49" s="7" t="s">
        <v>13</v>
      </c>
      <c r="C49" s="7" t="s">
        <v>13</v>
      </c>
      <c r="D49" s="7">
        <v>2</v>
      </c>
      <c r="E49" s="25">
        <v>0</v>
      </c>
    </row>
    <row r="50" spans="1:9">
      <c r="A50" s="12" t="s">
        <v>119</v>
      </c>
      <c r="B50" s="12" t="s">
        <v>13</v>
      </c>
      <c r="C50" s="12" t="s">
        <v>13</v>
      </c>
      <c r="D50" s="12">
        <v>2</v>
      </c>
      <c r="E50" s="26">
        <v>0</v>
      </c>
    </row>
    <row r="51" spans="1:9">
      <c r="A51" s="7" t="s">
        <v>120</v>
      </c>
      <c r="B51" s="7" t="s">
        <v>202</v>
      </c>
      <c r="C51" s="7" t="s">
        <v>13</v>
      </c>
      <c r="D51" s="7">
        <v>1</v>
      </c>
      <c r="E51" s="25">
        <v>0</v>
      </c>
    </row>
    <row r="56" spans="1:9">
      <c r="A56" s="6" t="s">
        <v>269</v>
      </c>
      <c r="B56" s="6"/>
      <c r="C56" s="6"/>
      <c r="D56" s="6"/>
      <c r="E56" s="6"/>
      <c r="F56" s="6"/>
      <c r="G56" s="6"/>
      <c r="H56" s="6"/>
      <c r="I56" s="6"/>
    </row>
    <row r="57" spans="1:9">
      <c r="A57" s="1" t="s">
        <v>0</v>
      </c>
      <c r="B57" s="1" t="s">
        <v>127</v>
      </c>
      <c r="C57" s="1" t="s">
        <v>112</v>
      </c>
      <c r="D57" s="1" t="s">
        <v>109</v>
      </c>
      <c r="E57" s="1" t="s">
        <v>117</v>
      </c>
      <c r="F57" s="1" t="s">
        <v>122</v>
      </c>
      <c r="G57" s="1" t="s">
        <v>94</v>
      </c>
      <c r="H57" s="1" t="s">
        <v>267</v>
      </c>
      <c r="I57" s="1" t="s">
        <v>7</v>
      </c>
    </row>
    <row r="58" spans="1:9">
      <c r="A58" s="7" t="s">
        <v>121</v>
      </c>
      <c r="B58" s="7" t="s">
        <v>202</v>
      </c>
      <c r="C58" s="7" t="s">
        <v>13</v>
      </c>
      <c r="D58" s="7" t="s">
        <v>13</v>
      </c>
      <c r="E58" s="7" t="s">
        <v>13</v>
      </c>
      <c r="F58" s="7" t="s">
        <v>13</v>
      </c>
      <c r="G58" s="7" t="s">
        <v>202</v>
      </c>
      <c r="H58" s="7">
        <v>4</v>
      </c>
      <c r="I58" s="25">
        <v>0</v>
      </c>
    </row>
    <row r="59" spans="1:9">
      <c r="A59" s="12" t="s">
        <v>123</v>
      </c>
      <c r="B59" s="12" t="s">
        <v>202</v>
      </c>
      <c r="C59" s="12" t="s">
        <v>202</v>
      </c>
      <c r="D59" s="12" t="s">
        <v>202</v>
      </c>
      <c r="E59" s="12" t="s">
        <v>49</v>
      </c>
      <c r="F59" s="12" t="s">
        <v>18</v>
      </c>
      <c r="G59" s="12" t="s">
        <v>202</v>
      </c>
      <c r="H59" s="12">
        <v>0</v>
      </c>
      <c r="I59" s="26">
        <v>5.9</v>
      </c>
    </row>
    <row r="60" spans="1:9">
      <c r="A60" s="7" t="s">
        <v>124</v>
      </c>
      <c r="B60" s="7" t="s">
        <v>202</v>
      </c>
      <c r="C60" s="7" t="s">
        <v>13</v>
      </c>
      <c r="D60" s="7" t="s">
        <v>13</v>
      </c>
      <c r="E60" s="7" t="s">
        <v>13</v>
      </c>
      <c r="F60" s="7" t="s">
        <v>13</v>
      </c>
      <c r="G60" s="7" t="s">
        <v>202</v>
      </c>
      <c r="H60" s="7">
        <v>4</v>
      </c>
      <c r="I60" s="25">
        <v>0</v>
      </c>
    </row>
    <row r="61" spans="1:9">
      <c r="A61" s="12" t="s">
        <v>125</v>
      </c>
      <c r="B61" s="12" t="s">
        <v>202</v>
      </c>
      <c r="C61" s="12" t="s">
        <v>202</v>
      </c>
      <c r="D61" s="12" t="s">
        <v>202</v>
      </c>
      <c r="E61" s="12" t="s">
        <v>18</v>
      </c>
      <c r="F61" s="12" t="s">
        <v>13</v>
      </c>
      <c r="G61" s="12" t="s">
        <v>13</v>
      </c>
      <c r="H61" s="12">
        <v>2</v>
      </c>
      <c r="I61" s="26">
        <v>0</v>
      </c>
    </row>
    <row r="62" spans="1:9">
      <c r="A62" s="7" t="s">
        <v>126</v>
      </c>
      <c r="B62" s="7" t="s">
        <v>18</v>
      </c>
      <c r="C62" s="7" t="s">
        <v>18</v>
      </c>
      <c r="D62" s="7" t="s">
        <v>24</v>
      </c>
      <c r="E62" s="7" t="s">
        <v>13</v>
      </c>
      <c r="F62" s="7" t="s">
        <v>13</v>
      </c>
      <c r="G62" s="7" t="s">
        <v>24</v>
      </c>
      <c r="H62" s="7">
        <v>4</v>
      </c>
      <c r="I62" s="25">
        <v>0</v>
      </c>
    </row>
    <row r="63" spans="1:9">
      <c r="A63" s="12" t="s">
        <v>128</v>
      </c>
      <c r="B63" s="12" t="s">
        <v>202</v>
      </c>
      <c r="C63" s="12" t="s">
        <v>13</v>
      </c>
      <c r="D63" s="12" t="s">
        <v>13</v>
      </c>
      <c r="E63" s="12" t="s">
        <v>24</v>
      </c>
      <c r="F63" s="12" t="s">
        <v>13</v>
      </c>
      <c r="G63" s="12" t="s">
        <v>202</v>
      </c>
      <c r="H63" s="12">
        <v>4</v>
      </c>
      <c r="I63" s="26">
        <v>0</v>
      </c>
    </row>
    <row r="64" spans="1:9">
      <c r="A64" s="7" t="s">
        <v>129</v>
      </c>
      <c r="B64" s="7" t="s">
        <v>202</v>
      </c>
      <c r="C64" s="7" t="s">
        <v>24</v>
      </c>
      <c r="D64" s="7" t="s">
        <v>13</v>
      </c>
      <c r="E64" s="7" t="s">
        <v>13</v>
      </c>
      <c r="F64" s="7" t="s">
        <v>18</v>
      </c>
      <c r="G64" s="7" t="s">
        <v>202</v>
      </c>
      <c r="H64" s="7">
        <v>3</v>
      </c>
      <c r="I64" s="25">
        <v>0</v>
      </c>
    </row>
    <row r="65" spans="1:19">
      <c r="A65" s="12" t="s">
        <v>130</v>
      </c>
      <c r="B65" s="12" t="s">
        <v>202</v>
      </c>
      <c r="C65" s="12" t="s">
        <v>202</v>
      </c>
      <c r="D65" s="12" t="s">
        <v>202</v>
      </c>
      <c r="E65" s="12" t="s">
        <v>202</v>
      </c>
      <c r="F65" s="12" t="s">
        <v>13</v>
      </c>
      <c r="G65" s="12" t="s">
        <v>202</v>
      </c>
      <c r="H65" s="12">
        <v>1</v>
      </c>
      <c r="I65" s="26">
        <v>0</v>
      </c>
    </row>
    <row r="66" spans="1:19">
      <c r="A66" s="7" t="s">
        <v>131</v>
      </c>
      <c r="B66" s="7" t="s">
        <v>202</v>
      </c>
      <c r="C66" s="7" t="s">
        <v>18</v>
      </c>
      <c r="D66" s="7" t="s">
        <v>202</v>
      </c>
      <c r="E66" s="7" t="s">
        <v>18</v>
      </c>
      <c r="F66" s="7" t="s">
        <v>13</v>
      </c>
      <c r="G66" s="7" t="s">
        <v>202</v>
      </c>
      <c r="H66" s="7">
        <v>1</v>
      </c>
      <c r="I66" s="25">
        <v>0</v>
      </c>
    </row>
    <row r="67" spans="1:19">
      <c r="A67" s="12" t="s">
        <v>132</v>
      </c>
      <c r="B67" s="12" t="s">
        <v>202</v>
      </c>
      <c r="C67" s="12" t="s">
        <v>202</v>
      </c>
      <c r="D67" s="12" t="s">
        <v>202</v>
      </c>
      <c r="E67" s="12" t="s">
        <v>18</v>
      </c>
      <c r="F67" s="12" t="s">
        <v>13</v>
      </c>
      <c r="G67" s="12" t="s">
        <v>13</v>
      </c>
      <c r="H67" s="12">
        <v>2</v>
      </c>
      <c r="I67" s="26">
        <v>0</v>
      </c>
    </row>
    <row r="72" spans="1:19">
      <c r="A72" s="6" t="s">
        <v>270</v>
      </c>
      <c r="B72" s="6"/>
      <c r="C72" s="6"/>
      <c r="D72" s="6"/>
      <c r="E72" s="6"/>
      <c r="F72" s="6"/>
    </row>
    <row r="73" spans="1:19">
      <c r="A73" s="1" t="s">
        <v>271</v>
      </c>
      <c r="B73" s="1" t="s">
        <v>255</v>
      </c>
      <c r="C73" s="1" t="s">
        <v>247</v>
      </c>
      <c r="D73" s="1" t="s">
        <v>248</v>
      </c>
      <c r="E73" s="1" t="s">
        <v>249</v>
      </c>
      <c r="F73" s="1" t="s">
        <v>250</v>
      </c>
    </row>
    <row r="74" spans="1:19">
      <c r="A74" s="7" t="s">
        <v>26</v>
      </c>
      <c r="B74" s="7">
        <v>10</v>
      </c>
      <c r="C74" s="7">
        <v>1</v>
      </c>
      <c r="D74" s="7">
        <v>9</v>
      </c>
      <c r="E74" s="27">
        <v>10</v>
      </c>
      <c r="F74" s="27">
        <v>90</v>
      </c>
    </row>
    <row r="78" spans="1:19">
      <c r="A78" s="6" t="s">
        <v>272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</row>
    <row r="79" spans="1:19">
      <c r="A79" s="1" t="s">
        <v>273</v>
      </c>
      <c r="B79" s="1" t="s">
        <v>5</v>
      </c>
      <c r="C79" s="1" t="s">
        <v>274</v>
      </c>
      <c r="D79" s="1" t="s">
        <v>275</v>
      </c>
      <c r="E79" s="1" t="s">
        <v>256</v>
      </c>
      <c r="F79" s="1" t="s">
        <v>257</v>
      </c>
      <c r="G79" s="1" t="s">
        <v>192</v>
      </c>
      <c r="H79" s="1" t="s">
        <v>193</v>
      </c>
      <c r="I79" s="1" t="s">
        <v>194</v>
      </c>
      <c r="J79" s="1" t="s">
        <v>195</v>
      </c>
      <c r="K79" s="1" t="s">
        <v>83</v>
      </c>
      <c r="L79" s="1" t="s">
        <v>74</v>
      </c>
      <c r="M79" s="1" t="s">
        <v>59</v>
      </c>
      <c r="N79" s="1" t="s">
        <v>49</v>
      </c>
      <c r="O79" s="1" t="s">
        <v>18</v>
      </c>
      <c r="P79" s="1" t="s">
        <v>13</v>
      </c>
      <c r="Q79" s="1" t="s">
        <v>197</v>
      </c>
      <c r="R79" s="1" t="s">
        <v>198</v>
      </c>
      <c r="S79" s="1" t="s">
        <v>199</v>
      </c>
    </row>
    <row r="80" spans="1:19">
      <c r="A80" s="7" t="s">
        <v>127</v>
      </c>
      <c r="B80" s="7" t="s">
        <v>127</v>
      </c>
      <c r="C80" s="28">
        <v>100</v>
      </c>
      <c r="D80" s="28">
        <v>0</v>
      </c>
      <c r="E80" s="7">
        <v>1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1</v>
      </c>
      <c r="P80" s="7">
        <v>0</v>
      </c>
      <c r="Q80" s="7">
        <v>0</v>
      </c>
      <c r="R80" s="7">
        <v>0</v>
      </c>
      <c r="S80" s="7">
        <v>0</v>
      </c>
    </row>
    <row r="81" spans="1:19">
      <c r="A81" s="12" t="s">
        <v>112</v>
      </c>
      <c r="B81" s="12" t="s">
        <v>113</v>
      </c>
      <c r="C81" s="29">
        <v>33.33333333333333</v>
      </c>
      <c r="D81" s="29">
        <v>66.66666666666667</v>
      </c>
      <c r="E81" s="12">
        <v>2</v>
      </c>
      <c r="F81" s="12">
        <v>4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2</v>
      </c>
      <c r="P81" s="12">
        <v>3</v>
      </c>
      <c r="Q81" s="12">
        <v>0</v>
      </c>
      <c r="R81" s="12">
        <v>1</v>
      </c>
      <c r="S81" s="12">
        <v>0</v>
      </c>
    </row>
    <row r="82" spans="1:19">
      <c r="A82" s="7" t="s">
        <v>109</v>
      </c>
      <c r="B82" s="7" t="s">
        <v>110</v>
      </c>
      <c r="C82" s="28">
        <v>0</v>
      </c>
      <c r="D82" s="28">
        <v>100</v>
      </c>
      <c r="E82" s="7">
        <v>0</v>
      </c>
      <c r="F82" s="7">
        <v>5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4</v>
      </c>
      <c r="Q82" s="7">
        <v>0</v>
      </c>
      <c r="R82" s="7">
        <v>1</v>
      </c>
      <c r="S82" s="7">
        <v>0</v>
      </c>
    </row>
    <row r="83" spans="1:19">
      <c r="A83" s="12" t="s">
        <v>117</v>
      </c>
      <c r="B83" s="12" t="s">
        <v>117</v>
      </c>
      <c r="C83" s="29">
        <v>44.44444444444444</v>
      </c>
      <c r="D83" s="29">
        <v>55.55555555555556</v>
      </c>
      <c r="E83" s="12">
        <v>4</v>
      </c>
      <c r="F83" s="12">
        <v>5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1</v>
      </c>
      <c r="O83" s="12">
        <v>3</v>
      </c>
      <c r="P83" s="12">
        <v>4</v>
      </c>
      <c r="Q83" s="12">
        <v>0</v>
      </c>
      <c r="R83" s="12">
        <v>1</v>
      </c>
      <c r="S83" s="12">
        <v>0</v>
      </c>
    </row>
    <row r="84" spans="1:19">
      <c r="A84" s="7" t="s">
        <v>122</v>
      </c>
      <c r="B84" s="7" t="s">
        <v>31</v>
      </c>
      <c r="C84" s="28">
        <v>20</v>
      </c>
      <c r="D84" s="28">
        <v>80</v>
      </c>
      <c r="E84" s="7">
        <v>2</v>
      </c>
      <c r="F84" s="7">
        <v>8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2</v>
      </c>
      <c r="P84" s="7">
        <v>8</v>
      </c>
      <c r="Q84" s="7">
        <v>0</v>
      </c>
      <c r="R84" s="7">
        <v>0</v>
      </c>
      <c r="S84" s="7">
        <v>0</v>
      </c>
    </row>
    <row r="85" spans="1:19">
      <c r="A85" s="12" t="s">
        <v>94</v>
      </c>
      <c r="B85" s="12" t="s">
        <v>95</v>
      </c>
      <c r="C85" s="29">
        <v>0</v>
      </c>
      <c r="D85" s="29">
        <v>100</v>
      </c>
      <c r="E85" s="12">
        <v>0</v>
      </c>
      <c r="F85" s="12">
        <v>3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>
        <v>2</v>
      </c>
      <c r="Q85" s="12">
        <v>0</v>
      </c>
      <c r="R85" s="12">
        <v>1</v>
      </c>
      <c r="S85" s="12">
        <v>0</v>
      </c>
    </row>
    <row r="501" spans="52:53">
      <c r="AZ501">
        <f>"EE_"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_DATA_!$A$2:$AZ$38, 7, FALSE), 0)</f>
        <v>0</v>
      </c>
    </row>
    <row r="507" spans="52:53">
      <c r="AZ507">
        <f>"A+ - " &amp; TEXT($BA$507/MAX($BA$521, 1), "0%")</f>
        <v>0</v>
      </c>
      <c r="BA507">
        <f>IFERROR(VLOOKUP($AZ$501, _DATA_!$A$2:$AZ$38, 8, FALSE), 0)</f>
        <v>0</v>
      </c>
    </row>
    <row r="508" spans="52:53">
      <c r="AZ508">
        <f>"A - " &amp; TEXT($BA$508/MAX($BA$521, 1), "0%")</f>
        <v>0</v>
      </c>
      <c r="BA508">
        <f>IFERROR(VLOOKUP($AZ$501, _DATA_!$A$2:$AZ$38, 9, FALSE), 0)</f>
        <v>0</v>
      </c>
    </row>
    <row r="509" spans="52:53">
      <c r="AZ509">
        <f>"B+ - " &amp; TEXT($BA$509/MAX($BA$521, 1), "0%")</f>
        <v>0</v>
      </c>
      <c r="BA509">
        <f>IFERROR(VLOOKUP($AZ$501, _DATA_!$A$2:$AZ$38, 10, FALSE), 0)</f>
        <v>0</v>
      </c>
    </row>
    <row r="510" spans="52:53">
      <c r="AZ510">
        <f>"B - " &amp; TEXT($BA$510/MAX($BA$521, 1), "0%")</f>
        <v>0</v>
      </c>
      <c r="BA510">
        <f>IFERROR(VLOOKUP($AZ$501, _DATA_!$A$2:$AZ$38, 11, FALSE), 0)</f>
        <v>0</v>
      </c>
    </row>
    <row r="511" spans="52:53">
      <c r="AZ511">
        <f>"C+ - " &amp; TEXT($BA$511/MAX($BA$521, 1), "0%")</f>
        <v>0</v>
      </c>
      <c r="BA511">
        <f>IFERROR(VLOOKUP($AZ$501, _DATA_!$A$2:$AZ$38, 12, FALSE), 0)</f>
        <v>0</v>
      </c>
    </row>
    <row r="512" spans="52:53">
      <c r="AZ512">
        <f>"C - " &amp; TEXT($BA$512/MAX($BA$521, 1), "0%")</f>
        <v>0</v>
      </c>
      <c r="BA512">
        <f>IFERROR(VLOOKUP($AZ$501, _DATA_!$A$2:$AZ$38, 13, FALSE), 0)</f>
        <v>0</v>
      </c>
    </row>
    <row r="513" spans="52:53">
      <c r="AZ513">
        <f>"D - " &amp; TEXT($BA$513/MAX($BA$521, 1), "0%")</f>
        <v>0</v>
      </c>
      <c r="BA513">
        <f>IFERROR(VLOOKUP($AZ$501, _DATA_!$A$2:$AZ$38, 14, FALSE), 0)</f>
        <v>0</v>
      </c>
    </row>
    <row r="514" spans="52:53">
      <c r="AZ514">
        <f>"P - " &amp; TEXT($BA$514/MAX($BA$521, 1), "0%")</f>
        <v>0</v>
      </c>
      <c r="BA514">
        <f>IFERROR(VLOOKUP($AZ$501, _DATA_!$A$2:$AZ$38, 15, FALSE), 0)</f>
        <v>0</v>
      </c>
    </row>
    <row r="515" spans="52:53">
      <c r="AZ515">
        <f>"PASS - " &amp; TEXT($BA$515/MAX($BA$521, 1), "0%")</f>
        <v>0</v>
      </c>
      <c r="BA515">
        <f>IFERROR(VLOOKUP($AZ$501, _DATA_!$A$2:$AZ$38, 16, FALSE), 0)</f>
        <v>0</v>
      </c>
    </row>
    <row r="516" spans="52:53">
      <c r="AZ516">
        <f>"F - " &amp; TEXT($BA$516/MAX($BA$521, 1), "0%")</f>
        <v>0</v>
      </c>
      <c r="BA516">
        <f>IFERROR(VLOOKUP($AZ$501, _DATA_!$A$2:$AZ$38, 17, FALSE), 0)</f>
        <v>0</v>
      </c>
    </row>
    <row r="517" spans="52:53">
      <c r="AZ517">
        <f>"FE - " &amp; TEXT($BA$517/MAX($BA$521, 1), "0%")</f>
        <v>0</v>
      </c>
      <c r="BA517">
        <f>IFERROR(VLOOKUP($AZ$501, _DATA_!$A$2:$AZ$38,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_DATA_!$A$2:$AZ$38,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_DATA_!$A$2:$AZ$38, 20, FALSE), 0)</f>
        <v>0</v>
      </c>
    </row>
    <row r="521" spans="52:53">
      <c r="AZ521" t="s">
        <v>187</v>
      </c>
      <c r="BA521">
        <f>IFERROR(VLOOKUP($AZ$501, _DATA_!$A$2:$T$38, 2, FALSE), 0)</f>
        <v>0</v>
      </c>
    </row>
    <row r="522" spans="52:53">
      <c r="AZ522" t="s">
        <v>188</v>
      </c>
      <c r="BA522">
        <f>IFERROR(VLOOKUP($AZ$501, _DATA_!$A$2:$T$38, 3, FALSE), 0)</f>
        <v>0</v>
      </c>
    </row>
    <row r="523" spans="52:53">
      <c r="AZ523" t="s">
        <v>189</v>
      </c>
      <c r="BA523">
        <f>IFERROR(VLOOKUP($AZ$501, _DATA_!$A$2:$T$38, 4, FALSE), 0)</f>
        <v>0</v>
      </c>
    </row>
  </sheetData>
  <mergeCells count="22">
    <mergeCell ref="A1:Q1"/>
    <mergeCell ref="A2:Q2"/>
    <mergeCell ref="A3:Q3"/>
    <mergeCell ref="A4:Q4"/>
    <mergeCell ref="A5:Q5"/>
    <mergeCell ref="A7:L7"/>
    <mergeCell ref="B10:C10"/>
    <mergeCell ref="B11:C12"/>
    <mergeCell ref="D10:F10"/>
    <mergeCell ref="D11:F12"/>
    <mergeCell ref="G10:H10"/>
    <mergeCell ref="G11:H12"/>
    <mergeCell ref="I10:J10"/>
    <mergeCell ref="I11:J12"/>
    <mergeCell ref="K10:L10"/>
    <mergeCell ref="K11:L12"/>
    <mergeCell ref="A32:F32"/>
    <mergeCell ref="A40:F40"/>
    <mergeCell ref="A47:E47"/>
    <mergeCell ref="A56:I56"/>
    <mergeCell ref="A72:F72"/>
    <mergeCell ref="A78:S78"/>
  </mergeCells>
  <conditionalFormatting sqref="A34:F35">
    <cfRule type="containsText" dxfId="1" priority="1" operator="containsText" text="F">
      <formula>NOT(ISERROR(SEARCH("F",A34)))</formula>
    </cfRule>
    <cfRule type="containsText" dxfId="1" priority="2" operator="containsText" text="FE">
      <formula>NOT(ISERROR(SEARCH("FE",A34)))</formula>
    </cfRule>
    <cfRule type="containsText" dxfId="1" priority="3" operator="containsText" text="ABSENT">
      <formula>NOT(ISERROR(SEARCH("ABSENT",A34)))</formula>
    </cfRule>
    <cfRule type="containsText" dxfId="1" priority="4" operator="containsText" text="AB">
      <formula>NOT(ISERROR(SEARCH("AB",A34)))</formula>
    </cfRule>
    <cfRule type="containsText" dxfId="1" priority="5" operator="containsText" text="WITHHELD">
      <formula>NOT(ISERROR(SEARCH("WITHHELD",A34)))</formula>
    </cfRule>
    <cfRule type="containsText" dxfId="1" priority="6" operator="containsText" text="I">
      <formula>NOT(ISERROR(SEARCH("I",A34)))</formula>
    </cfRule>
  </conditionalFormatting>
  <conditionalFormatting sqref="A42:F42">
    <cfRule type="containsText" dxfId="1" priority="11" operator="containsText" text="F">
      <formula>NOT(ISERROR(SEARCH("F",A42)))</formula>
    </cfRule>
    <cfRule type="containsText" dxfId="1" priority="12" operator="containsText" text="FE">
      <formula>NOT(ISERROR(SEARCH("FE",A42)))</formula>
    </cfRule>
    <cfRule type="containsText" dxfId="1" priority="13" operator="containsText" text="ABSENT">
      <formula>NOT(ISERROR(SEARCH("ABSENT",A42)))</formula>
    </cfRule>
    <cfRule type="containsText" dxfId="1" priority="14" operator="containsText" text="AB">
      <formula>NOT(ISERROR(SEARCH("AB",A42)))</formula>
    </cfRule>
    <cfRule type="containsText" dxfId="1" priority="15" operator="containsText" text="WITHHELD">
      <formula>NOT(ISERROR(SEARCH("WITHHELD",A42)))</formula>
    </cfRule>
    <cfRule type="containsText" dxfId="1" priority="16" operator="containsText" text="I">
      <formula>NOT(ISERROR(SEARCH("I",A42)))</formula>
    </cfRule>
  </conditionalFormatting>
  <conditionalFormatting sqref="A49:E51">
    <cfRule type="containsText" dxfId="1" priority="21" operator="containsText" text="F">
      <formula>NOT(ISERROR(SEARCH("F",A49)))</formula>
    </cfRule>
    <cfRule type="containsText" dxfId="1" priority="22" operator="containsText" text="FE">
      <formula>NOT(ISERROR(SEARCH("FE",A49)))</formula>
    </cfRule>
    <cfRule type="containsText" dxfId="1" priority="23" operator="containsText" text="ABSENT">
      <formula>NOT(ISERROR(SEARCH("ABSENT",A49)))</formula>
    </cfRule>
    <cfRule type="containsText" dxfId="1" priority="24" operator="containsText" text="AB">
      <formula>NOT(ISERROR(SEARCH("AB",A49)))</formula>
    </cfRule>
    <cfRule type="containsText" dxfId="1" priority="25" operator="containsText" text="WITHHELD">
      <formula>NOT(ISERROR(SEARCH("WITHHELD",A49)))</formula>
    </cfRule>
    <cfRule type="containsText" dxfId="1" priority="26" operator="containsText" text="I">
      <formula>NOT(ISERROR(SEARCH("I",A49)))</formula>
    </cfRule>
  </conditionalFormatting>
  <conditionalFormatting sqref="A58:I67">
    <cfRule type="containsText" dxfId="1" priority="31" operator="containsText" text="F">
      <formula>NOT(ISERROR(SEARCH("F",A58)))</formula>
    </cfRule>
    <cfRule type="containsText" dxfId="1" priority="32" operator="containsText" text="FE">
      <formula>NOT(ISERROR(SEARCH("FE",A58)))</formula>
    </cfRule>
    <cfRule type="containsText" dxfId="1" priority="33" operator="containsText" text="ABSENT">
      <formula>NOT(ISERROR(SEARCH("ABSENT",A58)))</formula>
    </cfRule>
    <cfRule type="containsText" dxfId="1" priority="34" operator="containsText" text="AB">
      <formula>NOT(ISERROR(SEARCH("AB",A58)))</formula>
    </cfRule>
    <cfRule type="containsText" dxfId="1" priority="35" operator="containsText" text="WITHHELD">
      <formula>NOT(ISERROR(SEARCH("WITHHELD",A58)))</formula>
    </cfRule>
    <cfRule type="containsText" dxfId="1" priority="36" operator="containsText" text="I">
      <formula>NOT(ISERROR(SEARCH("I",A58)))</formula>
    </cfRule>
  </conditionalFormatting>
  <conditionalFormatting sqref="C80:C85">
    <cfRule type="cellIs" dxfId="6" priority="42" operator="lessThan">
      <formula>40</formula>
    </cfRule>
  </conditionalFormatting>
  <conditionalFormatting sqref="E49:E51">
    <cfRule type="top10" dxfId="2" priority="27" rank="1"/>
    <cfRule type="cellIs" dxfId="3" priority="28" operator="greaterThanOrEqual">
      <formula>8.0</formula>
    </cfRule>
    <cfRule type="cellIs" dxfId="4" priority="29" operator="between">
      <formula>7.5</formula>
      <formula>7.99</formula>
    </cfRule>
    <cfRule type="cellIs" dxfId="5" priority="30" operator="lessThan">
      <formula>7.5</formula>
    </cfRule>
  </conditionalFormatting>
  <conditionalFormatting sqref="E74">
    <cfRule type="cellIs" dxfId="6" priority="41" operator="lessThan">
      <formula>40</formula>
    </cfRule>
  </conditionalFormatting>
  <conditionalFormatting sqref="F34:F35">
    <cfRule type="top10" dxfId="2" priority="7" rank="1"/>
    <cfRule type="cellIs" dxfId="3" priority="8" operator="greaterThanOrEqual">
      <formula>8.0</formula>
    </cfRule>
    <cfRule type="cellIs" dxfId="4" priority="9" operator="between">
      <formula>7.5</formula>
      <formula>7.99</formula>
    </cfRule>
    <cfRule type="cellIs" dxfId="5" priority="10" operator="lessThan">
      <formula>7.5</formula>
    </cfRule>
  </conditionalFormatting>
  <conditionalFormatting sqref="F42">
    <cfRule type="top10" dxfId="2" priority="17" rank="1"/>
    <cfRule type="cellIs" dxfId="3" priority="18" operator="greaterThanOrEqual">
      <formula>8.0</formula>
    </cfRule>
    <cfRule type="cellIs" dxfId="4" priority="19" operator="between">
      <formula>7.5</formula>
      <formula>7.99</formula>
    </cfRule>
    <cfRule type="cellIs" dxfId="5" priority="20" operator="lessThan">
      <formula>7.5</formula>
    </cfRule>
  </conditionalFormatting>
  <conditionalFormatting sqref="I58:I67">
    <cfRule type="top10" dxfId="2" priority="37" rank="1"/>
    <cfRule type="cellIs" dxfId="3" priority="38" operator="greaterThanOrEqual">
      <formula>8.0</formula>
    </cfRule>
    <cfRule type="cellIs" dxfId="4" priority="39" operator="between">
      <formula>7.5</formula>
      <formula>7.99</formula>
    </cfRule>
    <cfRule type="cellIs" dxfId="5" priority="40" operator="lessThan">
      <formula>7.5</formula>
    </cfRule>
  </conditionalFormatting>
  <dataValidations count="1">
    <dataValidation type="list" allowBlank="1" showInputMessage="1" showErrorMessage="1" sqref="B8">
      <formula1>"Department,EEL334,EET302,EET304,EET306,EET308,EET312,HUT310"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7" width="15.7109375" customWidth="1"/>
  </cols>
  <sheetData>
    <row r="1" spans="1:17">
      <c r="A1" s="3" t="s">
        <v>259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184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185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6" t="s">
        <v>283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spans="1:17">
      <c r="A5" s="17" t="s">
        <v>284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</row>
    <row r="7" spans="1:17">
      <c r="A7" s="6" t="s">
        <v>262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spans="1:17">
      <c r="A8" s="18" t="s">
        <v>263</v>
      </c>
      <c r="B8" s="19" t="s">
        <v>254</v>
      </c>
    </row>
    <row r="10" spans="1:17">
      <c r="B10" s="20" t="s">
        <v>187</v>
      </c>
      <c r="C10" s="20"/>
      <c r="D10" s="20" t="s">
        <v>188</v>
      </c>
      <c r="E10" s="20"/>
      <c r="F10" s="20"/>
      <c r="G10" s="20" t="s">
        <v>189</v>
      </c>
      <c r="H10" s="20"/>
      <c r="I10" s="20" t="s">
        <v>264</v>
      </c>
      <c r="J10" s="20"/>
      <c r="K10" s="20" t="s">
        <v>265</v>
      </c>
      <c r="L10" s="20"/>
    </row>
    <row r="11" spans="1:17">
      <c r="B11" s="21">
        <f>IFERROR(VLOOKUP("ME_" &amp; UPPER($B$8), _DATA_!$A$2:$AZ$38, 2, FALSE), 0)</f>
        <v>0</v>
      </c>
      <c r="C11" s="21"/>
      <c r="D11" s="22">
        <f>IFERROR(VLOOKUP("ME_" &amp; UPPER($B$8), _DATA_!$A$2:$AZ$38, 3, FALSE), 0)</f>
        <v>0</v>
      </c>
      <c r="E11" s="22"/>
      <c r="F11" s="22"/>
      <c r="G11" s="23">
        <f>IFERROR(VLOOKUP("ME_" &amp; UPPER($B$8), _DATA_!$A$2:$AZ$38, 4, FALSE), 0)</f>
        <v>0</v>
      </c>
      <c r="H11" s="23"/>
      <c r="I11" s="24">
        <f>IFERROR(VLOOKUP("ME_" &amp; UPPER($B$8), _DATA_!$A$2:$AZ$38, 5, FALSE), 0)</f>
        <v>0</v>
      </c>
      <c r="J11" s="24"/>
      <c r="K11" s="24">
        <f>IFERROR(VLOOKUP("ME_" &amp; UPPER($B$8), _DATA_!$A$2:$AZ$38, 6, FALSE), 0)</f>
        <v>0</v>
      </c>
      <c r="L11" s="24"/>
    </row>
    <row r="12" spans="1:17">
      <c r="B12" s="21"/>
      <c r="C12" s="21"/>
      <c r="D12" s="22"/>
      <c r="E12" s="22"/>
      <c r="F12" s="22"/>
      <c r="G12" s="23"/>
      <c r="H12" s="23"/>
      <c r="I12" s="24"/>
      <c r="J12" s="24"/>
      <c r="K12" s="24"/>
      <c r="L12" s="24"/>
    </row>
    <row r="32" spans="1:4">
      <c r="A32" s="6" t="s">
        <v>280</v>
      </c>
      <c r="B32" s="6"/>
      <c r="C32" s="6"/>
      <c r="D32" s="6"/>
    </row>
    <row r="33" spans="1:8">
      <c r="A33" s="1" t="s">
        <v>0</v>
      </c>
      <c r="B33" s="1" t="s">
        <v>155</v>
      </c>
      <c r="C33" s="1" t="s">
        <v>267</v>
      </c>
      <c r="D33" s="1" t="s">
        <v>7</v>
      </c>
    </row>
    <row r="34" spans="1:8">
      <c r="A34" s="7" t="s">
        <v>153</v>
      </c>
      <c r="B34" s="7" t="s">
        <v>24</v>
      </c>
      <c r="C34" s="7">
        <v>1</v>
      </c>
      <c r="D34" s="25">
        <v>0</v>
      </c>
    </row>
    <row r="39" spans="1:8">
      <c r="A39" s="6" t="s">
        <v>268</v>
      </c>
      <c r="B39" s="6"/>
      <c r="C39" s="6"/>
      <c r="D39" s="6"/>
      <c r="E39" s="6"/>
      <c r="F39" s="6"/>
      <c r="G39" s="6"/>
      <c r="H39" s="6"/>
    </row>
    <row r="40" spans="1:8">
      <c r="A40" s="1" t="s">
        <v>0</v>
      </c>
      <c r="B40" s="1" t="s">
        <v>94</v>
      </c>
      <c r="C40" s="1" t="s">
        <v>157</v>
      </c>
      <c r="D40" s="1" t="s">
        <v>155</v>
      </c>
      <c r="E40" s="1" t="s">
        <v>165</v>
      </c>
      <c r="F40" s="1" t="s">
        <v>159</v>
      </c>
      <c r="G40" s="1" t="s">
        <v>267</v>
      </c>
      <c r="H40" s="1" t="s">
        <v>7</v>
      </c>
    </row>
    <row r="41" spans="1:8">
      <c r="A41" s="7" t="s">
        <v>156</v>
      </c>
      <c r="B41" s="7" t="s">
        <v>202</v>
      </c>
      <c r="C41" s="7" t="s">
        <v>59</v>
      </c>
      <c r="D41" s="7" t="s">
        <v>202</v>
      </c>
      <c r="E41" s="7" t="s">
        <v>202</v>
      </c>
      <c r="F41" s="7" t="s">
        <v>202</v>
      </c>
      <c r="G41" s="7">
        <v>0</v>
      </c>
      <c r="H41" s="25">
        <v>6.5</v>
      </c>
    </row>
    <row r="42" spans="1:8">
      <c r="A42" s="12" t="s">
        <v>158</v>
      </c>
      <c r="B42" s="12" t="s">
        <v>202</v>
      </c>
      <c r="C42" s="12" t="s">
        <v>202</v>
      </c>
      <c r="D42" s="12" t="s">
        <v>24</v>
      </c>
      <c r="E42" s="12" t="s">
        <v>202</v>
      </c>
      <c r="F42" s="12" t="s">
        <v>24</v>
      </c>
      <c r="G42" s="12">
        <v>2</v>
      </c>
      <c r="H42" s="26">
        <v>0</v>
      </c>
    </row>
    <row r="43" spans="1:8">
      <c r="A43" s="7" t="s">
        <v>161</v>
      </c>
      <c r="B43" s="7" t="s">
        <v>202</v>
      </c>
      <c r="C43" s="7" t="s">
        <v>13</v>
      </c>
      <c r="D43" s="7" t="s">
        <v>202</v>
      </c>
      <c r="E43" s="7" t="s">
        <v>202</v>
      </c>
      <c r="F43" s="7" t="s">
        <v>202</v>
      </c>
      <c r="G43" s="7">
        <v>1</v>
      </c>
      <c r="H43" s="25">
        <v>0</v>
      </c>
    </row>
    <row r="44" spans="1:8">
      <c r="A44" s="12" t="s">
        <v>162</v>
      </c>
      <c r="B44" s="12" t="s">
        <v>13</v>
      </c>
      <c r="C44" s="12" t="s">
        <v>13</v>
      </c>
      <c r="D44" s="12" t="s">
        <v>13</v>
      </c>
      <c r="E44" s="12" t="s">
        <v>202</v>
      </c>
      <c r="F44" s="12" t="s">
        <v>18</v>
      </c>
      <c r="G44" s="12">
        <v>3</v>
      </c>
      <c r="H44" s="26">
        <v>0</v>
      </c>
    </row>
    <row r="45" spans="1:8">
      <c r="A45" s="7" t="s">
        <v>163</v>
      </c>
      <c r="B45" s="7" t="s">
        <v>202</v>
      </c>
      <c r="C45" s="7" t="s">
        <v>13</v>
      </c>
      <c r="D45" s="7" t="s">
        <v>24</v>
      </c>
      <c r="E45" s="7" t="s">
        <v>202</v>
      </c>
      <c r="F45" s="7" t="s">
        <v>24</v>
      </c>
      <c r="G45" s="7">
        <v>3</v>
      </c>
      <c r="H45" s="25">
        <v>0</v>
      </c>
    </row>
    <row r="46" spans="1:8">
      <c r="A46" s="12" t="s">
        <v>164</v>
      </c>
      <c r="B46" s="12" t="s">
        <v>202</v>
      </c>
      <c r="C46" s="12" t="s">
        <v>202</v>
      </c>
      <c r="D46" s="12" t="s">
        <v>202</v>
      </c>
      <c r="E46" s="12" t="s">
        <v>13</v>
      </c>
      <c r="F46" s="12" t="s">
        <v>202</v>
      </c>
      <c r="G46" s="12">
        <v>1</v>
      </c>
      <c r="H46" s="26">
        <v>0</v>
      </c>
    </row>
    <row r="51" spans="1:9">
      <c r="A51" s="6" t="s">
        <v>269</v>
      </c>
      <c r="B51" s="6"/>
      <c r="C51" s="6"/>
      <c r="D51" s="6"/>
      <c r="E51" s="6"/>
      <c r="F51" s="6"/>
      <c r="G51" s="6"/>
      <c r="H51" s="6"/>
      <c r="I51" s="6"/>
    </row>
    <row r="52" spans="1:9">
      <c r="A52" s="1" t="s">
        <v>0</v>
      </c>
      <c r="B52" s="1" t="s">
        <v>94</v>
      </c>
      <c r="C52" s="1" t="s">
        <v>157</v>
      </c>
      <c r="D52" s="1" t="s">
        <v>168</v>
      </c>
      <c r="E52" s="1" t="s">
        <v>155</v>
      </c>
      <c r="F52" s="1" t="s">
        <v>165</v>
      </c>
      <c r="G52" s="1" t="s">
        <v>159</v>
      </c>
      <c r="H52" s="1" t="s">
        <v>267</v>
      </c>
      <c r="I52" s="1" t="s">
        <v>7</v>
      </c>
    </row>
    <row r="53" spans="1:9">
      <c r="A53" s="7" t="s">
        <v>166</v>
      </c>
      <c r="B53" s="7" t="s">
        <v>202</v>
      </c>
      <c r="C53" s="7" t="s">
        <v>13</v>
      </c>
      <c r="D53" s="7" t="s">
        <v>202</v>
      </c>
      <c r="E53" s="7" t="s">
        <v>24</v>
      </c>
      <c r="F53" s="7" t="s">
        <v>202</v>
      </c>
      <c r="G53" s="7" t="s">
        <v>13</v>
      </c>
      <c r="H53" s="7">
        <v>3</v>
      </c>
      <c r="I53" s="25">
        <v>0</v>
      </c>
    </row>
    <row r="54" spans="1:9">
      <c r="A54" s="12" t="s">
        <v>167</v>
      </c>
      <c r="B54" s="12" t="s">
        <v>202</v>
      </c>
      <c r="C54" s="12" t="s">
        <v>18</v>
      </c>
      <c r="D54" s="12" t="s">
        <v>13</v>
      </c>
      <c r="E54" s="12" t="s">
        <v>13</v>
      </c>
      <c r="F54" s="12" t="s">
        <v>13</v>
      </c>
      <c r="G54" s="12" t="s">
        <v>18</v>
      </c>
      <c r="H54" s="12">
        <v>3</v>
      </c>
      <c r="I54" s="26">
        <v>0</v>
      </c>
    </row>
    <row r="55" spans="1:9">
      <c r="A55" s="7" t="s">
        <v>169</v>
      </c>
      <c r="B55" s="7" t="s">
        <v>202</v>
      </c>
      <c r="C55" s="7" t="s">
        <v>13</v>
      </c>
      <c r="D55" s="7" t="s">
        <v>24</v>
      </c>
      <c r="E55" s="7" t="s">
        <v>202</v>
      </c>
      <c r="F55" s="7" t="s">
        <v>24</v>
      </c>
      <c r="G55" s="7" t="s">
        <v>24</v>
      </c>
      <c r="H55" s="7">
        <v>4</v>
      </c>
      <c r="I55" s="25">
        <v>0</v>
      </c>
    </row>
    <row r="56" spans="1:9">
      <c r="A56" s="12" t="s">
        <v>170</v>
      </c>
      <c r="B56" s="12" t="s">
        <v>24</v>
      </c>
      <c r="C56" s="12" t="s">
        <v>24</v>
      </c>
      <c r="D56" s="12" t="s">
        <v>24</v>
      </c>
      <c r="E56" s="12" t="s">
        <v>24</v>
      </c>
      <c r="F56" s="12" t="s">
        <v>13</v>
      </c>
      <c r="G56" s="12" t="s">
        <v>24</v>
      </c>
      <c r="H56" s="12">
        <v>6</v>
      </c>
      <c r="I56" s="26">
        <v>0</v>
      </c>
    </row>
    <row r="57" spans="1:9">
      <c r="A57" s="7" t="s">
        <v>171</v>
      </c>
      <c r="B57" s="7" t="s">
        <v>202</v>
      </c>
      <c r="C57" s="7" t="s">
        <v>13</v>
      </c>
      <c r="D57" s="7" t="s">
        <v>202</v>
      </c>
      <c r="E57" s="7" t="s">
        <v>24</v>
      </c>
      <c r="F57" s="7" t="s">
        <v>202</v>
      </c>
      <c r="G57" s="7" t="s">
        <v>13</v>
      </c>
      <c r="H57" s="7">
        <v>3</v>
      </c>
      <c r="I57" s="25">
        <v>0</v>
      </c>
    </row>
    <row r="58" spans="1:9">
      <c r="A58" s="12" t="s">
        <v>172</v>
      </c>
      <c r="B58" s="12" t="s">
        <v>13</v>
      </c>
      <c r="C58" s="12" t="s">
        <v>13</v>
      </c>
      <c r="D58" s="12" t="s">
        <v>24</v>
      </c>
      <c r="E58" s="12" t="s">
        <v>18</v>
      </c>
      <c r="F58" s="12" t="s">
        <v>13</v>
      </c>
      <c r="G58" s="12" t="s">
        <v>13</v>
      </c>
      <c r="H58" s="12">
        <v>5</v>
      </c>
      <c r="I58" s="26">
        <v>0</v>
      </c>
    </row>
    <row r="59" spans="1:9">
      <c r="A59" s="7" t="s">
        <v>173</v>
      </c>
      <c r="B59" s="7" t="s">
        <v>202</v>
      </c>
      <c r="C59" s="7" t="s">
        <v>202</v>
      </c>
      <c r="D59" s="7" t="s">
        <v>202</v>
      </c>
      <c r="E59" s="7" t="s">
        <v>202</v>
      </c>
      <c r="F59" s="7" t="s">
        <v>13</v>
      </c>
      <c r="G59" s="7" t="s">
        <v>202</v>
      </c>
      <c r="H59" s="7">
        <v>1</v>
      </c>
      <c r="I59" s="25">
        <v>0</v>
      </c>
    </row>
    <row r="60" spans="1:9">
      <c r="A60" s="12" t="s">
        <v>174</v>
      </c>
      <c r="B60" s="12" t="s">
        <v>13</v>
      </c>
      <c r="C60" s="12" t="s">
        <v>13</v>
      </c>
      <c r="D60" s="12" t="s">
        <v>24</v>
      </c>
      <c r="E60" s="12" t="s">
        <v>202</v>
      </c>
      <c r="F60" s="12" t="s">
        <v>13</v>
      </c>
      <c r="G60" s="12" t="s">
        <v>202</v>
      </c>
      <c r="H60" s="12">
        <v>4</v>
      </c>
      <c r="I60" s="26">
        <v>0</v>
      </c>
    </row>
    <row r="61" spans="1:9">
      <c r="A61" s="7" t="s">
        <v>175</v>
      </c>
      <c r="B61" s="7" t="s">
        <v>202</v>
      </c>
      <c r="C61" s="7" t="s">
        <v>13</v>
      </c>
      <c r="D61" s="7" t="s">
        <v>202</v>
      </c>
      <c r="E61" s="7" t="s">
        <v>24</v>
      </c>
      <c r="F61" s="7" t="s">
        <v>202</v>
      </c>
      <c r="G61" s="7" t="s">
        <v>202</v>
      </c>
      <c r="H61" s="7">
        <v>2</v>
      </c>
      <c r="I61" s="25">
        <v>0</v>
      </c>
    </row>
    <row r="62" spans="1:9">
      <c r="A62" s="12" t="s">
        <v>176</v>
      </c>
      <c r="B62" s="12" t="s">
        <v>202</v>
      </c>
      <c r="C62" s="12" t="s">
        <v>13</v>
      </c>
      <c r="D62" s="12" t="s">
        <v>13</v>
      </c>
      <c r="E62" s="12" t="s">
        <v>202</v>
      </c>
      <c r="F62" s="12" t="s">
        <v>13</v>
      </c>
      <c r="G62" s="12" t="s">
        <v>13</v>
      </c>
      <c r="H62" s="12">
        <v>4</v>
      </c>
      <c r="I62" s="26">
        <v>0</v>
      </c>
    </row>
    <row r="63" spans="1:9">
      <c r="A63" s="7" t="s">
        <v>177</v>
      </c>
      <c r="B63" s="7" t="s">
        <v>202</v>
      </c>
      <c r="C63" s="7" t="s">
        <v>13</v>
      </c>
      <c r="D63" s="7" t="s">
        <v>202</v>
      </c>
      <c r="E63" s="7" t="s">
        <v>202</v>
      </c>
      <c r="F63" s="7" t="s">
        <v>13</v>
      </c>
      <c r="G63" s="7" t="s">
        <v>13</v>
      </c>
      <c r="H63" s="7">
        <v>3</v>
      </c>
      <c r="I63" s="25">
        <v>0</v>
      </c>
    </row>
    <row r="64" spans="1:9">
      <c r="A64" s="12" t="s">
        <v>178</v>
      </c>
      <c r="B64" s="12" t="s">
        <v>24</v>
      </c>
      <c r="C64" s="12" t="s">
        <v>202</v>
      </c>
      <c r="D64" s="12" t="s">
        <v>202</v>
      </c>
      <c r="E64" s="12" t="s">
        <v>202</v>
      </c>
      <c r="F64" s="12" t="s">
        <v>202</v>
      </c>
      <c r="G64" s="12" t="s">
        <v>202</v>
      </c>
      <c r="H64" s="12">
        <v>1</v>
      </c>
      <c r="I64" s="26">
        <v>0</v>
      </c>
    </row>
    <row r="65" spans="1:19">
      <c r="A65" s="7" t="s">
        <v>179</v>
      </c>
      <c r="B65" s="7" t="s">
        <v>202</v>
      </c>
      <c r="C65" s="7" t="s">
        <v>202</v>
      </c>
      <c r="D65" s="7" t="s">
        <v>202</v>
      </c>
      <c r="E65" s="7" t="s">
        <v>24</v>
      </c>
      <c r="F65" s="7" t="s">
        <v>24</v>
      </c>
      <c r="G65" s="7" t="s">
        <v>24</v>
      </c>
      <c r="H65" s="7">
        <v>3</v>
      </c>
      <c r="I65" s="25">
        <v>0</v>
      </c>
    </row>
    <row r="66" spans="1:19">
      <c r="A66" s="12" t="s">
        <v>180</v>
      </c>
      <c r="B66" s="12" t="s">
        <v>202</v>
      </c>
      <c r="C66" s="12" t="s">
        <v>202</v>
      </c>
      <c r="D66" s="12" t="s">
        <v>202</v>
      </c>
      <c r="E66" s="12" t="s">
        <v>24</v>
      </c>
      <c r="F66" s="12" t="s">
        <v>202</v>
      </c>
      <c r="G66" s="12" t="s">
        <v>24</v>
      </c>
      <c r="H66" s="12">
        <v>2</v>
      </c>
      <c r="I66" s="26">
        <v>0</v>
      </c>
    </row>
    <row r="67" spans="1:19">
      <c r="A67" s="7" t="s">
        <v>181</v>
      </c>
      <c r="B67" s="7" t="s">
        <v>202</v>
      </c>
      <c r="C67" s="7" t="s">
        <v>202</v>
      </c>
      <c r="D67" s="7" t="s">
        <v>202</v>
      </c>
      <c r="E67" s="7" t="s">
        <v>202</v>
      </c>
      <c r="F67" s="7" t="s">
        <v>13</v>
      </c>
      <c r="G67" s="7" t="s">
        <v>202</v>
      </c>
      <c r="H67" s="7">
        <v>1</v>
      </c>
      <c r="I67" s="25">
        <v>0</v>
      </c>
    </row>
    <row r="68" spans="1:19">
      <c r="A68" s="12" t="s">
        <v>182</v>
      </c>
      <c r="B68" s="12" t="s">
        <v>13</v>
      </c>
      <c r="C68" s="12" t="s">
        <v>13</v>
      </c>
      <c r="D68" s="12" t="s">
        <v>24</v>
      </c>
      <c r="E68" s="12" t="s">
        <v>202</v>
      </c>
      <c r="F68" s="12" t="s">
        <v>202</v>
      </c>
      <c r="G68" s="12" t="s">
        <v>202</v>
      </c>
      <c r="H68" s="12">
        <v>3</v>
      </c>
      <c r="I68" s="26">
        <v>0</v>
      </c>
    </row>
    <row r="73" spans="1:19">
      <c r="A73" s="6" t="s">
        <v>270</v>
      </c>
      <c r="B73" s="6"/>
      <c r="C73" s="6"/>
      <c r="D73" s="6"/>
      <c r="E73" s="6"/>
      <c r="F73" s="6"/>
    </row>
    <row r="74" spans="1:19">
      <c r="A74" s="1" t="s">
        <v>271</v>
      </c>
      <c r="B74" s="1" t="s">
        <v>255</v>
      </c>
      <c r="C74" s="1" t="s">
        <v>247</v>
      </c>
      <c r="D74" s="1" t="s">
        <v>248</v>
      </c>
      <c r="E74" s="1" t="s">
        <v>249</v>
      </c>
      <c r="F74" s="1" t="s">
        <v>250</v>
      </c>
    </row>
    <row r="75" spans="1:19">
      <c r="A75" s="7" t="s">
        <v>26</v>
      </c>
      <c r="B75" s="7">
        <v>16</v>
      </c>
      <c r="C75" s="7">
        <v>0</v>
      </c>
      <c r="D75" s="7">
        <v>16</v>
      </c>
      <c r="E75" s="27">
        <v>0</v>
      </c>
      <c r="F75" s="27">
        <v>100</v>
      </c>
    </row>
    <row r="79" spans="1:19">
      <c r="A79" s="6" t="s">
        <v>272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</row>
    <row r="80" spans="1:19">
      <c r="A80" s="1" t="s">
        <v>273</v>
      </c>
      <c r="B80" s="1" t="s">
        <v>5</v>
      </c>
      <c r="C80" s="1" t="s">
        <v>274</v>
      </c>
      <c r="D80" s="1" t="s">
        <v>275</v>
      </c>
      <c r="E80" s="1" t="s">
        <v>256</v>
      </c>
      <c r="F80" s="1" t="s">
        <v>257</v>
      </c>
      <c r="G80" s="1" t="s">
        <v>192</v>
      </c>
      <c r="H80" s="1" t="s">
        <v>193</v>
      </c>
      <c r="I80" s="1" t="s">
        <v>194</v>
      </c>
      <c r="J80" s="1" t="s">
        <v>195</v>
      </c>
      <c r="K80" s="1" t="s">
        <v>83</v>
      </c>
      <c r="L80" s="1" t="s">
        <v>74</v>
      </c>
      <c r="M80" s="1" t="s">
        <v>59</v>
      </c>
      <c r="N80" s="1" t="s">
        <v>49</v>
      </c>
      <c r="O80" s="1" t="s">
        <v>18</v>
      </c>
      <c r="P80" s="1" t="s">
        <v>13</v>
      </c>
      <c r="Q80" s="1" t="s">
        <v>197</v>
      </c>
      <c r="R80" s="1" t="s">
        <v>198</v>
      </c>
      <c r="S80" s="1" t="s">
        <v>199</v>
      </c>
    </row>
    <row r="81" spans="1:19">
      <c r="A81" s="7" t="s">
        <v>94</v>
      </c>
      <c r="B81" s="7" t="s">
        <v>95</v>
      </c>
      <c r="C81" s="28">
        <v>0</v>
      </c>
      <c r="D81" s="28">
        <v>100</v>
      </c>
      <c r="E81" s="7">
        <v>0</v>
      </c>
      <c r="F81" s="7">
        <v>5</v>
      </c>
      <c r="G81" s="7">
        <v>0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3</v>
      </c>
      <c r="Q81" s="7">
        <v>0</v>
      </c>
      <c r="R81" s="7">
        <v>2</v>
      </c>
      <c r="S81" s="7">
        <v>0</v>
      </c>
    </row>
    <row r="82" spans="1:19">
      <c r="A82" s="12" t="s">
        <v>157</v>
      </c>
      <c r="B82" s="12" t="s">
        <v>157</v>
      </c>
      <c r="C82" s="29">
        <v>9.090909090909092</v>
      </c>
      <c r="D82" s="29">
        <v>90.90909090909091</v>
      </c>
      <c r="E82" s="12">
        <v>1</v>
      </c>
      <c r="F82" s="12">
        <v>10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1</v>
      </c>
      <c r="P82" s="12">
        <v>9</v>
      </c>
      <c r="Q82" s="12">
        <v>0</v>
      </c>
      <c r="R82" s="12">
        <v>1</v>
      </c>
      <c r="S82" s="12">
        <v>0</v>
      </c>
    </row>
    <row r="83" spans="1:19">
      <c r="A83" s="7" t="s">
        <v>168</v>
      </c>
      <c r="B83" s="7" t="s">
        <v>168</v>
      </c>
      <c r="C83" s="28">
        <v>0</v>
      </c>
      <c r="D83" s="28">
        <v>100</v>
      </c>
      <c r="E83" s="7">
        <v>0</v>
      </c>
      <c r="F83" s="7">
        <v>7</v>
      </c>
      <c r="G83" s="7">
        <v>0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2</v>
      </c>
      <c r="Q83" s="7">
        <v>0</v>
      </c>
      <c r="R83" s="7">
        <v>5</v>
      </c>
      <c r="S83" s="7">
        <v>0</v>
      </c>
    </row>
    <row r="84" spans="1:19">
      <c r="A84" s="12" t="s">
        <v>155</v>
      </c>
      <c r="B84" s="12" t="s">
        <v>155</v>
      </c>
      <c r="C84" s="29">
        <v>12.5</v>
      </c>
      <c r="D84" s="29">
        <v>87.5</v>
      </c>
      <c r="E84" s="12">
        <v>1</v>
      </c>
      <c r="F84" s="12">
        <v>7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1</v>
      </c>
      <c r="P84" s="12">
        <v>1</v>
      </c>
      <c r="Q84" s="12">
        <v>0</v>
      </c>
      <c r="R84" s="12">
        <v>6</v>
      </c>
      <c r="S84" s="12">
        <v>0</v>
      </c>
    </row>
    <row r="85" spans="1:19">
      <c r="A85" s="7" t="s">
        <v>165</v>
      </c>
      <c r="B85" s="7" t="s">
        <v>31</v>
      </c>
      <c r="C85" s="28">
        <v>0</v>
      </c>
      <c r="D85" s="28">
        <v>100</v>
      </c>
      <c r="E85" s="7">
        <v>0</v>
      </c>
      <c r="F85" s="7">
        <v>10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8</v>
      </c>
      <c r="Q85" s="7">
        <v>0</v>
      </c>
      <c r="R85" s="7">
        <v>2</v>
      </c>
      <c r="S85" s="7">
        <v>0</v>
      </c>
    </row>
    <row r="86" spans="1:19">
      <c r="A86" s="12" t="s">
        <v>159</v>
      </c>
      <c r="B86" s="12" t="s">
        <v>160</v>
      </c>
      <c r="C86" s="29">
        <v>10</v>
      </c>
      <c r="D86" s="29">
        <v>90</v>
      </c>
      <c r="E86" s="12">
        <v>1</v>
      </c>
      <c r="F86" s="12">
        <v>9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1</v>
      </c>
      <c r="P86" s="12">
        <v>5</v>
      </c>
      <c r="Q86" s="12">
        <v>0</v>
      </c>
      <c r="R86" s="12">
        <v>4</v>
      </c>
      <c r="S86" s="12">
        <v>0</v>
      </c>
    </row>
    <row r="501" spans="52:53">
      <c r="AZ501">
        <f>"ME_"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_DATA_!$A$2:$AZ$38, 7, FALSE), 0)</f>
        <v>0</v>
      </c>
    </row>
    <row r="507" spans="52:53">
      <c r="AZ507">
        <f>"A+ - " &amp; TEXT($BA$507/MAX($BA$521, 1), "0%")</f>
        <v>0</v>
      </c>
      <c r="BA507">
        <f>IFERROR(VLOOKUP($AZ$501, _DATA_!$A$2:$AZ$38, 8, FALSE), 0)</f>
        <v>0</v>
      </c>
    </row>
    <row r="508" spans="52:53">
      <c r="AZ508">
        <f>"A - " &amp; TEXT($BA$508/MAX($BA$521, 1), "0%")</f>
        <v>0</v>
      </c>
      <c r="BA508">
        <f>IFERROR(VLOOKUP($AZ$501, _DATA_!$A$2:$AZ$38, 9, FALSE), 0)</f>
        <v>0</v>
      </c>
    </row>
    <row r="509" spans="52:53">
      <c r="AZ509">
        <f>"B+ - " &amp; TEXT($BA$509/MAX($BA$521, 1), "0%")</f>
        <v>0</v>
      </c>
      <c r="BA509">
        <f>IFERROR(VLOOKUP($AZ$501, _DATA_!$A$2:$AZ$38, 10, FALSE), 0)</f>
        <v>0</v>
      </c>
    </row>
    <row r="510" spans="52:53">
      <c r="AZ510">
        <f>"B - " &amp; TEXT($BA$510/MAX($BA$521, 1), "0%")</f>
        <v>0</v>
      </c>
      <c r="BA510">
        <f>IFERROR(VLOOKUP($AZ$501, _DATA_!$A$2:$AZ$38, 11, FALSE), 0)</f>
        <v>0</v>
      </c>
    </row>
    <row r="511" spans="52:53">
      <c r="AZ511">
        <f>"C+ - " &amp; TEXT($BA$511/MAX($BA$521, 1), "0%")</f>
        <v>0</v>
      </c>
      <c r="BA511">
        <f>IFERROR(VLOOKUP($AZ$501, _DATA_!$A$2:$AZ$38, 12, FALSE), 0)</f>
        <v>0</v>
      </c>
    </row>
    <row r="512" spans="52:53">
      <c r="AZ512">
        <f>"C - " &amp; TEXT($BA$512/MAX($BA$521, 1), "0%")</f>
        <v>0</v>
      </c>
      <c r="BA512">
        <f>IFERROR(VLOOKUP($AZ$501, _DATA_!$A$2:$AZ$38, 13, FALSE), 0)</f>
        <v>0</v>
      </c>
    </row>
    <row r="513" spans="52:53">
      <c r="AZ513">
        <f>"D - " &amp; TEXT($BA$513/MAX($BA$521, 1), "0%")</f>
        <v>0</v>
      </c>
      <c r="BA513">
        <f>IFERROR(VLOOKUP($AZ$501, _DATA_!$A$2:$AZ$38, 14, FALSE), 0)</f>
        <v>0</v>
      </c>
    </row>
    <row r="514" spans="52:53">
      <c r="AZ514">
        <f>"P - " &amp; TEXT($BA$514/MAX($BA$521, 1), "0%")</f>
        <v>0</v>
      </c>
      <c r="BA514">
        <f>IFERROR(VLOOKUP($AZ$501, _DATA_!$A$2:$AZ$38, 15, FALSE), 0)</f>
        <v>0</v>
      </c>
    </row>
    <row r="515" spans="52:53">
      <c r="AZ515">
        <f>"PASS - " &amp; TEXT($BA$515/MAX($BA$521, 1), "0%")</f>
        <v>0</v>
      </c>
      <c r="BA515">
        <f>IFERROR(VLOOKUP($AZ$501, _DATA_!$A$2:$AZ$38, 16, FALSE), 0)</f>
        <v>0</v>
      </c>
    </row>
    <row r="516" spans="52:53">
      <c r="AZ516">
        <f>"F - " &amp; TEXT($BA$516/MAX($BA$521, 1), "0%")</f>
        <v>0</v>
      </c>
      <c r="BA516">
        <f>IFERROR(VLOOKUP($AZ$501, _DATA_!$A$2:$AZ$38, 17, FALSE), 0)</f>
        <v>0</v>
      </c>
    </row>
    <row r="517" spans="52:53">
      <c r="AZ517">
        <f>"FE - " &amp; TEXT($BA$517/MAX($BA$521, 1), "0%")</f>
        <v>0</v>
      </c>
      <c r="BA517">
        <f>IFERROR(VLOOKUP($AZ$501, _DATA_!$A$2:$AZ$38,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_DATA_!$A$2:$AZ$38,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_DATA_!$A$2:$AZ$38, 20, FALSE), 0)</f>
        <v>0</v>
      </c>
    </row>
    <row r="521" spans="52:53">
      <c r="AZ521" t="s">
        <v>187</v>
      </c>
      <c r="BA521">
        <f>IFERROR(VLOOKUP($AZ$501, _DATA_!$A$2:$T$38, 2, FALSE), 0)</f>
        <v>0</v>
      </c>
    </row>
    <row r="522" spans="52:53">
      <c r="AZ522" t="s">
        <v>188</v>
      </c>
      <c r="BA522">
        <f>IFERROR(VLOOKUP($AZ$501, _DATA_!$A$2:$T$38, 3, FALSE), 0)</f>
        <v>0</v>
      </c>
    </row>
    <row r="523" spans="52:53">
      <c r="AZ523" t="s">
        <v>189</v>
      </c>
      <c r="BA523">
        <f>IFERROR(VLOOKUP($AZ$501, _DATA_!$A$2:$T$38, 4, FALSE), 0)</f>
        <v>0</v>
      </c>
    </row>
  </sheetData>
  <mergeCells count="21">
    <mergeCell ref="A1:Q1"/>
    <mergeCell ref="A2:Q2"/>
    <mergeCell ref="A3:Q3"/>
    <mergeCell ref="A4:Q4"/>
    <mergeCell ref="A5:Q5"/>
    <mergeCell ref="A7:L7"/>
    <mergeCell ref="B10:C10"/>
    <mergeCell ref="B11:C12"/>
    <mergeCell ref="D10:F10"/>
    <mergeCell ref="D11:F12"/>
    <mergeCell ref="G10:H10"/>
    <mergeCell ref="G11:H12"/>
    <mergeCell ref="I10:J10"/>
    <mergeCell ref="I11:J12"/>
    <mergeCell ref="K10:L10"/>
    <mergeCell ref="K11:L12"/>
    <mergeCell ref="A32:D32"/>
    <mergeCell ref="A39:H39"/>
    <mergeCell ref="A51:I51"/>
    <mergeCell ref="A73:F73"/>
    <mergeCell ref="A79:S79"/>
  </mergeCells>
  <conditionalFormatting sqref="A34:D34">
    <cfRule type="containsText" dxfId="1" priority="1" operator="containsText" text="F">
      <formula>NOT(ISERROR(SEARCH("F",A34)))</formula>
    </cfRule>
    <cfRule type="containsText" dxfId="1" priority="2" operator="containsText" text="FE">
      <formula>NOT(ISERROR(SEARCH("FE",A34)))</formula>
    </cfRule>
    <cfRule type="containsText" dxfId="1" priority="3" operator="containsText" text="ABSENT">
      <formula>NOT(ISERROR(SEARCH("ABSENT",A34)))</formula>
    </cfRule>
    <cfRule type="containsText" dxfId="1" priority="4" operator="containsText" text="AB">
      <formula>NOT(ISERROR(SEARCH("AB",A34)))</formula>
    </cfRule>
    <cfRule type="containsText" dxfId="1" priority="5" operator="containsText" text="WITHHELD">
      <formula>NOT(ISERROR(SEARCH("WITHHELD",A34)))</formula>
    </cfRule>
    <cfRule type="containsText" dxfId="1" priority="6" operator="containsText" text="I">
      <formula>NOT(ISERROR(SEARCH("I",A34)))</formula>
    </cfRule>
  </conditionalFormatting>
  <conditionalFormatting sqref="A41:H46">
    <cfRule type="containsText" dxfId="1" priority="11" operator="containsText" text="F">
      <formula>NOT(ISERROR(SEARCH("F",A41)))</formula>
    </cfRule>
    <cfRule type="containsText" dxfId="1" priority="12" operator="containsText" text="FE">
      <formula>NOT(ISERROR(SEARCH("FE",A41)))</formula>
    </cfRule>
    <cfRule type="containsText" dxfId="1" priority="13" operator="containsText" text="ABSENT">
      <formula>NOT(ISERROR(SEARCH("ABSENT",A41)))</formula>
    </cfRule>
    <cfRule type="containsText" dxfId="1" priority="14" operator="containsText" text="AB">
      <formula>NOT(ISERROR(SEARCH("AB",A41)))</formula>
    </cfRule>
    <cfRule type="containsText" dxfId="1" priority="15" operator="containsText" text="WITHHELD">
      <formula>NOT(ISERROR(SEARCH("WITHHELD",A41)))</formula>
    </cfRule>
    <cfRule type="containsText" dxfId="1" priority="16" operator="containsText" text="I">
      <formula>NOT(ISERROR(SEARCH("I",A41)))</formula>
    </cfRule>
  </conditionalFormatting>
  <conditionalFormatting sqref="A53:I68">
    <cfRule type="containsText" dxfId="1" priority="21" operator="containsText" text="F">
      <formula>NOT(ISERROR(SEARCH("F",A53)))</formula>
    </cfRule>
    <cfRule type="containsText" dxfId="1" priority="22" operator="containsText" text="FE">
      <formula>NOT(ISERROR(SEARCH("FE",A53)))</formula>
    </cfRule>
    <cfRule type="containsText" dxfId="1" priority="23" operator="containsText" text="ABSENT">
      <formula>NOT(ISERROR(SEARCH("ABSENT",A53)))</formula>
    </cfRule>
    <cfRule type="containsText" dxfId="1" priority="24" operator="containsText" text="AB">
      <formula>NOT(ISERROR(SEARCH("AB",A53)))</formula>
    </cfRule>
    <cfRule type="containsText" dxfId="1" priority="25" operator="containsText" text="WITHHELD">
      <formula>NOT(ISERROR(SEARCH("WITHHELD",A53)))</formula>
    </cfRule>
    <cfRule type="containsText" dxfId="1" priority="26" operator="containsText" text="I">
      <formula>NOT(ISERROR(SEARCH("I",A53)))</formula>
    </cfRule>
  </conditionalFormatting>
  <conditionalFormatting sqref="C81:C86">
    <cfRule type="cellIs" dxfId="6" priority="32" operator="lessThan">
      <formula>40</formula>
    </cfRule>
  </conditionalFormatting>
  <conditionalFormatting sqref="D34">
    <cfRule type="top10" dxfId="2" priority="7" rank="1"/>
    <cfRule type="cellIs" dxfId="3" priority="8" operator="greaterThanOrEqual">
      <formula>8.0</formula>
    </cfRule>
    <cfRule type="cellIs" dxfId="4" priority="9" operator="between">
      <formula>7.5</formula>
      <formula>7.99</formula>
    </cfRule>
    <cfRule type="cellIs" dxfId="5" priority="10" operator="lessThan">
      <formula>7.5</formula>
    </cfRule>
  </conditionalFormatting>
  <conditionalFormatting sqref="E75">
    <cfRule type="cellIs" dxfId="6" priority="31" operator="lessThan">
      <formula>40</formula>
    </cfRule>
  </conditionalFormatting>
  <conditionalFormatting sqref="H41:H46">
    <cfRule type="top10" dxfId="2" priority="17" rank="1"/>
    <cfRule type="cellIs" dxfId="3" priority="18" operator="greaterThanOrEqual">
      <formula>8.0</formula>
    </cfRule>
    <cfRule type="cellIs" dxfId="4" priority="19" operator="between">
      <formula>7.5</formula>
      <formula>7.99</formula>
    </cfRule>
    <cfRule type="cellIs" dxfId="5" priority="20" operator="lessThan">
      <formula>7.5</formula>
    </cfRule>
  </conditionalFormatting>
  <conditionalFormatting sqref="I53:I68">
    <cfRule type="top10" dxfId="2" priority="27" rank="1"/>
    <cfRule type="cellIs" dxfId="3" priority="28" operator="greaterThanOrEqual">
      <formula>8.0</formula>
    </cfRule>
    <cfRule type="cellIs" dxfId="4" priority="29" operator="between">
      <formula>7.5</formula>
      <formula>7.99</formula>
    </cfRule>
    <cfRule type="cellIs" dxfId="5" priority="30" operator="lessThan">
      <formula>7.5</formula>
    </cfRule>
  </conditionalFormatting>
  <dataValidations count="1">
    <dataValidation type="list" allowBlank="1" showInputMessage="1" showErrorMessage="1" sqref="B8">
      <formula1>"Department,HUT310,MET302,MET304,MET306,MET308,MET312"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2:D222"/>
  <sheetViews>
    <sheetView workbookViewId="0"/>
  </sheetViews>
  <sheetFormatPr defaultRowHeight="15"/>
  <sheetData>
    <row r="2" spans="1:4">
      <c r="A2" t="s">
        <v>201</v>
      </c>
      <c r="B2" t="s">
        <v>189</v>
      </c>
      <c r="C2" t="s">
        <v>137</v>
      </c>
      <c r="D2" t="s">
        <v>202</v>
      </c>
    </row>
    <row r="3" spans="1:4">
      <c r="A3" t="s">
        <v>201</v>
      </c>
      <c r="B3" t="s">
        <v>189</v>
      </c>
      <c r="C3" t="s">
        <v>141</v>
      </c>
      <c r="D3" t="s">
        <v>202</v>
      </c>
    </row>
    <row r="4" spans="1:4">
      <c r="A4" t="s">
        <v>201</v>
      </c>
      <c r="B4" t="s">
        <v>189</v>
      </c>
      <c r="C4" t="s">
        <v>142</v>
      </c>
      <c r="D4" t="s">
        <v>202</v>
      </c>
    </row>
    <row r="5" spans="1:4">
      <c r="A5" t="s">
        <v>201</v>
      </c>
      <c r="B5" t="s">
        <v>189</v>
      </c>
      <c r="C5" t="s">
        <v>143</v>
      </c>
      <c r="D5" t="s">
        <v>202</v>
      </c>
    </row>
    <row r="6" spans="1:4">
      <c r="A6" t="s">
        <v>203</v>
      </c>
      <c r="B6" t="s">
        <v>189</v>
      </c>
      <c r="C6" t="s">
        <v>137</v>
      </c>
      <c r="D6" t="s">
        <v>202</v>
      </c>
    </row>
    <row r="7" spans="1:4">
      <c r="A7" t="s">
        <v>203</v>
      </c>
      <c r="B7" t="s">
        <v>189</v>
      </c>
      <c r="C7" t="s">
        <v>141</v>
      </c>
      <c r="D7" t="s">
        <v>202</v>
      </c>
    </row>
    <row r="8" spans="1:4">
      <c r="A8" t="s">
        <v>204</v>
      </c>
      <c r="B8" t="s">
        <v>189</v>
      </c>
      <c r="C8" t="s">
        <v>150</v>
      </c>
      <c r="D8" t="s">
        <v>202</v>
      </c>
    </row>
    <row r="9" spans="1:4">
      <c r="A9" t="s">
        <v>204</v>
      </c>
      <c r="B9" t="s">
        <v>189</v>
      </c>
      <c r="C9" t="s">
        <v>152</v>
      </c>
      <c r="D9" t="s">
        <v>202</v>
      </c>
    </row>
    <row r="10" spans="1:4">
      <c r="A10" t="s">
        <v>205</v>
      </c>
      <c r="B10" t="s">
        <v>189</v>
      </c>
      <c r="C10" t="s">
        <v>146</v>
      </c>
      <c r="D10" t="s">
        <v>202</v>
      </c>
    </row>
    <row r="11" spans="1:4">
      <c r="A11" t="s">
        <v>205</v>
      </c>
      <c r="B11" t="s">
        <v>189</v>
      </c>
      <c r="C11" t="s">
        <v>148</v>
      </c>
      <c r="D11" t="s">
        <v>202</v>
      </c>
    </row>
    <row r="12" spans="1:4">
      <c r="A12" t="s">
        <v>206</v>
      </c>
      <c r="B12" t="s">
        <v>189</v>
      </c>
      <c r="C12" t="s">
        <v>143</v>
      </c>
      <c r="D12" t="s">
        <v>202</v>
      </c>
    </row>
    <row r="13" spans="1:4">
      <c r="A13" t="s">
        <v>207</v>
      </c>
      <c r="B13" t="s">
        <v>189</v>
      </c>
      <c r="C13" t="s">
        <v>137</v>
      </c>
      <c r="D13" t="s">
        <v>202</v>
      </c>
    </row>
    <row r="14" spans="1:4">
      <c r="A14" t="s">
        <v>207</v>
      </c>
      <c r="B14" t="s">
        <v>189</v>
      </c>
      <c r="C14" t="s">
        <v>142</v>
      </c>
      <c r="D14" t="s">
        <v>202</v>
      </c>
    </row>
    <row r="15" spans="1:4">
      <c r="A15" t="s">
        <v>207</v>
      </c>
      <c r="B15" t="s">
        <v>189</v>
      </c>
      <c r="C15" t="s">
        <v>143</v>
      </c>
      <c r="D15" t="s">
        <v>202</v>
      </c>
    </row>
    <row r="16" spans="1:4">
      <c r="A16" t="s">
        <v>207</v>
      </c>
      <c r="B16" t="s">
        <v>189</v>
      </c>
      <c r="C16" t="s">
        <v>145</v>
      </c>
      <c r="D16" t="s">
        <v>202</v>
      </c>
    </row>
    <row r="17" spans="1:4">
      <c r="A17" t="s">
        <v>207</v>
      </c>
      <c r="B17" t="s">
        <v>189</v>
      </c>
      <c r="C17" t="s">
        <v>149</v>
      </c>
      <c r="D17" t="s">
        <v>202</v>
      </c>
    </row>
    <row r="18" spans="1:4">
      <c r="A18" t="s">
        <v>209</v>
      </c>
      <c r="B18" t="s">
        <v>189</v>
      </c>
      <c r="C18" t="s">
        <v>14</v>
      </c>
      <c r="D18" t="s">
        <v>202</v>
      </c>
    </row>
    <row r="19" spans="1:4">
      <c r="A19" t="s">
        <v>209</v>
      </c>
      <c r="B19" t="s">
        <v>189</v>
      </c>
      <c r="C19" t="s">
        <v>35</v>
      </c>
      <c r="D19" t="s">
        <v>202</v>
      </c>
    </row>
    <row r="20" spans="1:4">
      <c r="A20" t="s">
        <v>209</v>
      </c>
      <c r="B20" t="s">
        <v>189</v>
      </c>
      <c r="C20" t="s">
        <v>36</v>
      </c>
      <c r="D20" t="s">
        <v>202</v>
      </c>
    </row>
    <row r="21" spans="1:4">
      <c r="A21" t="s">
        <v>209</v>
      </c>
      <c r="B21" t="s">
        <v>189</v>
      </c>
      <c r="C21" t="s">
        <v>40</v>
      </c>
      <c r="D21" t="s">
        <v>202</v>
      </c>
    </row>
    <row r="22" spans="1:4">
      <c r="A22" t="s">
        <v>209</v>
      </c>
      <c r="B22" t="s">
        <v>189</v>
      </c>
      <c r="C22" t="s">
        <v>41</v>
      </c>
      <c r="D22" t="s">
        <v>202</v>
      </c>
    </row>
    <row r="23" spans="1:4">
      <c r="A23" t="s">
        <v>209</v>
      </c>
      <c r="B23" t="s">
        <v>189</v>
      </c>
      <c r="C23" t="s">
        <v>47</v>
      </c>
      <c r="D23" t="s">
        <v>202</v>
      </c>
    </row>
    <row r="24" spans="1:4">
      <c r="A24" t="s">
        <v>209</v>
      </c>
      <c r="B24" t="s">
        <v>189</v>
      </c>
      <c r="C24" t="s">
        <v>56</v>
      </c>
      <c r="D24" t="s">
        <v>202</v>
      </c>
    </row>
    <row r="25" spans="1:4">
      <c r="A25" t="s">
        <v>209</v>
      </c>
      <c r="B25" t="s">
        <v>189</v>
      </c>
      <c r="C25" t="s">
        <v>57</v>
      </c>
      <c r="D25" t="s">
        <v>202</v>
      </c>
    </row>
    <row r="26" spans="1:4">
      <c r="A26" t="s">
        <v>209</v>
      </c>
      <c r="B26" t="s">
        <v>189</v>
      </c>
      <c r="C26" t="s">
        <v>58</v>
      </c>
      <c r="D26" t="s">
        <v>202</v>
      </c>
    </row>
    <row r="27" spans="1:4">
      <c r="A27" t="s">
        <v>209</v>
      </c>
      <c r="B27" t="s">
        <v>189</v>
      </c>
      <c r="C27" t="s">
        <v>61</v>
      </c>
      <c r="D27" t="s">
        <v>202</v>
      </c>
    </row>
    <row r="28" spans="1:4">
      <c r="A28" t="s">
        <v>209</v>
      </c>
      <c r="B28" t="s">
        <v>189</v>
      </c>
      <c r="C28" t="s">
        <v>67</v>
      </c>
      <c r="D28" t="s">
        <v>202</v>
      </c>
    </row>
    <row r="29" spans="1:4">
      <c r="A29" t="s">
        <v>209</v>
      </c>
      <c r="B29" t="s">
        <v>189</v>
      </c>
      <c r="C29" t="s">
        <v>71</v>
      </c>
      <c r="D29" t="s">
        <v>202</v>
      </c>
    </row>
    <row r="30" spans="1:4">
      <c r="A30" t="s">
        <v>209</v>
      </c>
      <c r="B30" t="s">
        <v>189</v>
      </c>
      <c r="C30" t="s">
        <v>73</v>
      </c>
      <c r="D30" t="s">
        <v>202</v>
      </c>
    </row>
    <row r="31" spans="1:4">
      <c r="A31" t="s">
        <v>209</v>
      </c>
      <c r="B31" t="s">
        <v>189</v>
      </c>
      <c r="C31" t="s">
        <v>80</v>
      </c>
      <c r="D31" t="s">
        <v>202</v>
      </c>
    </row>
    <row r="32" spans="1:4">
      <c r="A32" t="s">
        <v>209</v>
      </c>
      <c r="B32" t="s">
        <v>189</v>
      </c>
      <c r="C32" t="s">
        <v>81</v>
      </c>
      <c r="D32" t="s">
        <v>202</v>
      </c>
    </row>
    <row r="33" spans="1:4">
      <c r="A33" t="s">
        <v>209</v>
      </c>
      <c r="B33" t="s">
        <v>189</v>
      </c>
      <c r="C33" t="s">
        <v>82</v>
      </c>
      <c r="D33" t="s">
        <v>202</v>
      </c>
    </row>
    <row r="34" spans="1:4">
      <c r="A34" t="s">
        <v>210</v>
      </c>
      <c r="B34" t="s">
        <v>189</v>
      </c>
      <c r="C34" t="s">
        <v>23</v>
      </c>
      <c r="D34" t="s">
        <v>202</v>
      </c>
    </row>
    <row r="35" spans="1:4">
      <c r="A35" t="s">
        <v>210</v>
      </c>
      <c r="B35" t="s">
        <v>189</v>
      </c>
      <c r="C35" t="s">
        <v>42</v>
      </c>
      <c r="D35" t="s">
        <v>202</v>
      </c>
    </row>
    <row r="36" spans="1:4">
      <c r="A36" t="s">
        <v>210</v>
      </c>
      <c r="B36" t="s">
        <v>189</v>
      </c>
      <c r="C36" t="s">
        <v>43</v>
      </c>
      <c r="D36" t="s">
        <v>202</v>
      </c>
    </row>
    <row r="37" spans="1:4">
      <c r="A37" t="s">
        <v>210</v>
      </c>
      <c r="B37" t="s">
        <v>189</v>
      </c>
      <c r="C37" t="s">
        <v>47</v>
      </c>
      <c r="D37" t="s">
        <v>202</v>
      </c>
    </row>
    <row r="38" spans="1:4">
      <c r="A38" t="s">
        <v>210</v>
      </c>
      <c r="B38" t="s">
        <v>189</v>
      </c>
      <c r="C38" t="s">
        <v>61</v>
      </c>
      <c r="D38" t="s">
        <v>202</v>
      </c>
    </row>
    <row r="39" spans="1:4">
      <c r="A39" t="s">
        <v>211</v>
      </c>
      <c r="B39" t="s">
        <v>189</v>
      </c>
      <c r="C39" t="s">
        <v>8</v>
      </c>
      <c r="D39" t="s">
        <v>202</v>
      </c>
    </row>
    <row r="40" spans="1:4">
      <c r="A40" t="s">
        <v>211</v>
      </c>
      <c r="B40" t="s">
        <v>189</v>
      </c>
      <c r="C40" t="s">
        <v>23</v>
      </c>
      <c r="D40" t="s">
        <v>202</v>
      </c>
    </row>
    <row r="41" spans="1:4">
      <c r="A41" t="s">
        <v>211</v>
      </c>
      <c r="B41" t="s">
        <v>189</v>
      </c>
      <c r="C41" t="s">
        <v>35</v>
      </c>
      <c r="D41" t="s">
        <v>202</v>
      </c>
    </row>
    <row r="42" spans="1:4">
      <c r="A42" t="s">
        <v>211</v>
      </c>
      <c r="B42" t="s">
        <v>189</v>
      </c>
      <c r="C42" t="s">
        <v>41</v>
      </c>
      <c r="D42" t="s">
        <v>202</v>
      </c>
    </row>
    <row r="43" spans="1:4">
      <c r="A43" t="s">
        <v>211</v>
      </c>
      <c r="B43" t="s">
        <v>189</v>
      </c>
      <c r="C43" t="s">
        <v>47</v>
      </c>
      <c r="D43" t="s">
        <v>202</v>
      </c>
    </row>
    <row r="44" spans="1:4">
      <c r="A44" t="s">
        <v>211</v>
      </c>
      <c r="B44" t="s">
        <v>189</v>
      </c>
      <c r="C44" t="s">
        <v>57</v>
      </c>
      <c r="D44" t="s">
        <v>202</v>
      </c>
    </row>
    <row r="45" spans="1:4">
      <c r="A45" t="s">
        <v>211</v>
      </c>
      <c r="B45" t="s">
        <v>189</v>
      </c>
      <c r="C45" t="s">
        <v>61</v>
      </c>
      <c r="D45" t="s">
        <v>202</v>
      </c>
    </row>
    <row r="46" spans="1:4">
      <c r="A46" t="s">
        <v>211</v>
      </c>
      <c r="B46" t="s">
        <v>189</v>
      </c>
      <c r="C46" t="s">
        <v>82</v>
      </c>
      <c r="D46" t="s">
        <v>202</v>
      </c>
    </row>
    <row r="47" spans="1:4">
      <c r="A47" t="s">
        <v>212</v>
      </c>
      <c r="B47" t="s">
        <v>189</v>
      </c>
      <c r="C47" t="s">
        <v>29</v>
      </c>
      <c r="D47" t="s">
        <v>202</v>
      </c>
    </row>
    <row r="48" spans="1:4">
      <c r="A48" t="s">
        <v>212</v>
      </c>
      <c r="B48" t="s">
        <v>189</v>
      </c>
      <c r="C48" t="s">
        <v>34</v>
      </c>
      <c r="D48" t="s">
        <v>202</v>
      </c>
    </row>
    <row r="49" spans="1:4">
      <c r="A49" t="s">
        <v>212</v>
      </c>
      <c r="B49" t="s">
        <v>189</v>
      </c>
      <c r="C49" t="s">
        <v>38</v>
      </c>
      <c r="D49" t="s">
        <v>202</v>
      </c>
    </row>
    <row r="50" spans="1:4">
      <c r="A50" t="s">
        <v>212</v>
      </c>
      <c r="B50" t="s">
        <v>189</v>
      </c>
      <c r="C50" t="s">
        <v>51</v>
      </c>
      <c r="D50" t="s">
        <v>202</v>
      </c>
    </row>
    <row r="51" spans="1:4">
      <c r="A51" t="s">
        <v>212</v>
      </c>
      <c r="B51" t="s">
        <v>189</v>
      </c>
      <c r="C51" t="s">
        <v>52</v>
      </c>
      <c r="D51" t="s">
        <v>202</v>
      </c>
    </row>
    <row r="52" spans="1:4">
      <c r="A52" t="s">
        <v>212</v>
      </c>
      <c r="B52" t="s">
        <v>189</v>
      </c>
      <c r="C52" t="s">
        <v>55</v>
      </c>
      <c r="D52" t="s">
        <v>202</v>
      </c>
    </row>
    <row r="53" spans="1:4">
      <c r="A53" t="s">
        <v>212</v>
      </c>
      <c r="B53" t="s">
        <v>189</v>
      </c>
      <c r="C53" t="s">
        <v>60</v>
      </c>
      <c r="D53" t="s">
        <v>202</v>
      </c>
    </row>
    <row r="54" spans="1:4">
      <c r="A54" t="s">
        <v>212</v>
      </c>
      <c r="B54" t="s">
        <v>189</v>
      </c>
      <c r="C54" t="s">
        <v>66</v>
      </c>
      <c r="D54" t="s">
        <v>202</v>
      </c>
    </row>
    <row r="55" spans="1:4">
      <c r="A55" t="s">
        <v>212</v>
      </c>
      <c r="B55" t="s">
        <v>189</v>
      </c>
      <c r="C55" t="s">
        <v>67</v>
      </c>
      <c r="D55" t="s">
        <v>202</v>
      </c>
    </row>
    <row r="56" spans="1:4">
      <c r="A56" t="s">
        <v>212</v>
      </c>
      <c r="B56" t="s">
        <v>189</v>
      </c>
      <c r="C56" t="s">
        <v>75</v>
      </c>
      <c r="D56" t="s">
        <v>202</v>
      </c>
    </row>
    <row r="57" spans="1:4">
      <c r="A57" t="s">
        <v>212</v>
      </c>
      <c r="B57" t="s">
        <v>189</v>
      </c>
      <c r="C57" t="s">
        <v>76</v>
      </c>
      <c r="D57" t="s">
        <v>202</v>
      </c>
    </row>
    <row r="58" spans="1:4">
      <c r="A58" t="s">
        <v>212</v>
      </c>
      <c r="B58" t="s">
        <v>189</v>
      </c>
      <c r="C58" t="s">
        <v>77</v>
      </c>
      <c r="D58" t="s">
        <v>202</v>
      </c>
    </row>
    <row r="59" spans="1:4">
      <c r="A59" t="s">
        <v>212</v>
      </c>
      <c r="B59" t="s">
        <v>189</v>
      </c>
      <c r="C59" t="s">
        <v>78</v>
      </c>
      <c r="D59" t="s">
        <v>202</v>
      </c>
    </row>
    <row r="60" spans="1:4">
      <c r="A60" t="s">
        <v>212</v>
      </c>
      <c r="B60" t="s">
        <v>189</v>
      </c>
      <c r="C60" t="s">
        <v>79</v>
      </c>
      <c r="D60" t="s">
        <v>202</v>
      </c>
    </row>
    <row r="61" spans="1:4">
      <c r="A61" t="s">
        <v>212</v>
      </c>
      <c r="B61" t="s">
        <v>189</v>
      </c>
      <c r="C61" t="s">
        <v>80</v>
      </c>
      <c r="D61" t="s">
        <v>202</v>
      </c>
    </row>
    <row r="62" spans="1:4">
      <c r="A62" t="s">
        <v>212</v>
      </c>
      <c r="B62" t="s">
        <v>189</v>
      </c>
      <c r="C62" t="s">
        <v>81</v>
      </c>
      <c r="D62" t="s">
        <v>202</v>
      </c>
    </row>
    <row r="63" spans="1:4">
      <c r="A63" t="s">
        <v>213</v>
      </c>
      <c r="B63" t="s">
        <v>189</v>
      </c>
      <c r="C63" t="s">
        <v>19</v>
      </c>
      <c r="D63" t="s">
        <v>202</v>
      </c>
    </row>
    <row r="64" spans="1:4">
      <c r="A64" t="s">
        <v>213</v>
      </c>
      <c r="B64" t="s">
        <v>189</v>
      </c>
      <c r="C64" t="s">
        <v>23</v>
      </c>
      <c r="D64" t="s">
        <v>202</v>
      </c>
    </row>
    <row r="65" spans="1:4">
      <c r="A65" t="s">
        <v>214</v>
      </c>
      <c r="B65" t="s">
        <v>189</v>
      </c>
      <c r="C65" t="s">
        <v>29</v>
      </c>
      <c r="D65" t="s">
        <v>202</v>
      </c>
    </row>
    <row r="66" spans="1:4">
      <c r="A66" t="s">
        <v>214</v>
      </c>
      <c r="B66" t="s">
        <v>189</v>
      </c>
      <c r="C66" t="s">
        <v>45</v>
      </c>
      <c r="D66" t="s">
        <v>202</v>
      </c>
    </row>
    <row r="67" spans="1:4">
      <c r="A67" t="s">
        <v>214</v>
      </c>
      <c r="B67" t="s">
        <v>189</v>
      </c>
      <c r="C67" t="s">
        <v>47</v>
      </c>
      <c r="D67" t="s">
        <v>202</v>
      </c>
    </row>
    <row r="68" spans="1:4">
      <c r="A68" t="s">
        <v>214</v>
      </c>
      <c r="B68" t="s">
        <v>189</v>
      </c>
      <c r="C68" t="s">
        <v>55</v>
      </c>
      <c r="D68" t="s">
        <v>202</v>
      </c>
    </row>
    <row r="69" spans="1:4">
      <c r="A69" t="s">
        <v>214</v>
      </c>
      <c r="B69" t="s">
        <v>189</v>
      </c>
      <c r="C69" t="s">
        <v>61</v>
      </c>
      <c r="D69" t="s">
        <v>202</v>
      </c>
    </row>
    <row r="70" spans="1:4">
      <c r="A70" t="s">
        <v>214</v>
      </c>
      <c r="B70" t="s">
        <v>189</v>
      </c>
      <c r="C70" t="s">
        <v>63</v>
      </c>
      <c r="D70" t="s">
        <v>202</v>
      </c>
    </row>
    <row r="71" spans="1:4">
      <c r="A71" t="s">
        <v>214</v>
      </c>
      <c r="B71" t="s">
        <v>189</v>
      </c>
      <c r="C71" t="s">
        <v>67</v>
      </c>
      <c r="D71" t="s">
        <v>202</v>
      </c>
    </row>
    <row r="72" spans="1:4">
      <c r="A72" t="s">
        <v>214</v>
      </c>
      <c r="B72" t="s">
        <v>189</v>
      </c>
      <c r="C72" t="s">
        <v>72</v>
      </c>
      <c r="D72" t="s">
        <v>202</v>
      </c>
    </row>
    <row r="73" spans="1:4">
      <c r="A73" t="s">
        <v>214</v>
      </c>
      <c r="B73" t="s">
        <v>189</v>
      </c>
      <c r="C73" t="s">
        <v>73</v>
      </c>
      <c r="D73" t="s">
        <v>202</v>
      </c>
    </row>
    <row r="74" spans="1:4">
      <c r="A74" t="s">
        <v>214</v>
      </c>
      <c r="B74" t="s">
        <v>189</v>
      </c>
      <c r="C74" t="s">
        <v>75</v>
      </c>
      <c r="D74" t="s">
        <v>202</v>
      </c>
    </row>
    <row r="75" spans="1:4">
      <c r="A75" t="s">
        <v>214</v>
      </c>
      <c r="B75" t="s">
        <v>189</v>
      </c>
      <c r="C75" t="s">
        <v>78</v>
      </c>
      <c r="D75" t="s">
        <v>202</v>
      </c>
    </row>
    <row r="76" spans="1:4">
      <c r="A76" t="s">
        <v>214</v>
      </c>
      <c r="B76" t="s">
        <v>189</v>
      </c>
      <c r="C76" t="s">
        <v>81</v>
      </c>
      <c r="D76" t="s">
        <v>202</v>
      </c>
    </row>
    <row r="77" spans="1:4">
      <c r="A77" t="s">
        <v>215</v>
      </c>
      <c r="B77" t="s">
        <v>189</v>
      </c>
      <c r="C77" t="s">
        <v>25</v>
      </c>
      <c r="D77" t="s">
        <v>202</v>
      </c>
    </row>
    <row r="78" spans="1:4">
      <c r="A78" t="s">
        <v>215</v>
      </c>
      <c r="B78" t="s">
        <v>189</v>
      </c>
      <c r="C78" t="s">
        <v>29</v>
      </c>
      <c r="D78" t="s">
        <v>202</v>
      </c>
    </row>
    <row r="79" spans="1:4">
      <c r="A79" t="s">
        <v>215</v>
      </c>
      <c r="B79" t="s">
        <v>189</v>
      </c>
      <c r="C79" t="s">
        <v>34</v>
      </c>
      <c r="D79" t="s">
        <v>202</v>
      </c>
    </row>
    <row r="80" spans="1:4">
      <c r="A80" t="s">
        <v>215</v>
      </c>
      <c r="B80" t="s">
        <v>189</v>
      </c>
      <c r="C80" t="s">
        <v>35</v>
      </c>
      <c r="D80" t="s">
        <v>202</v>
      </c>
    </row>
    <row r="81" spans="1:4">
      <c r="A81" t="s">
        <v>215</v>
      </c>
      <c r="B81" t="s">
        <v>189</v>
      </c>
      <c r="C81" t="s">
        <v>36</v>
      </c>
      <c r="D81" t="s">
        <v>202</v>
      </c>
    </row>
    <row r="82" spans="1:4">
      <c r="A82" t="s">
        <v>215</v>
      </c>
      <c r="B82" t="s">
        <v>189</v>
      </c>
      <c r="C82" t="s">
        <v>40</v>
      </c>
      <c r="D82" t="s">
        <v>202</v>
      </c>
    </row>
    <row r="83" spans="1:4">
      <c r="A83" t="s">
        <v>215</v>
      </c>
      <c r="B83" t="s">
        <v>189</v>
      </c>
      <c r="C83" t="s">
        <v>41</v>
      </c>
      <c r="D83" t="s">
        <v>202</v>
      </c>
    </row>
    <row r="84" spans="1:4">
      <c r="A84" t="s">
        <v>215</v>
      </c>
      <c r="B84" t="s">
        <v>189</v>
      </c>
      <c r="C84" t="s">
        <v>42</v>
      </c>
      <c r="D84" t="s">
        <v>202</v>
      </c>
    </row>
    <row r="85" spans="1:4">
      <c r="A85" t="s">
        <v>215</v>
      </c>
      <c r="B85" t="s">
        <v>189</v>
      </c>
      <c r="C85" t="s">
        <v>43</v>
      </c>
      <c r="D85" t="s">
        <v>202</v>
      </c>
    </row>
    <row r="86" spans="1:4">
      <c r="A86" t="s">
        <v>215</v>
      </c>
      <c r="B86" t="s">
        <v>189</v>
      </c>
      <c r="C86" t="s">
        <v>45</v>
      </c>
      <c r="D86" t="s">
        <v>202</v>
      </c>
    </row>
    <row r="87" spans="1:4">
      <c r="A87" t="s">
        <v>215</v>
      </c>
      <c r="B87" t="s">
        <v>189</v>
      </c>
      <c r="C87" t="s">
        <v>46</v>
      </c>
      <c r="D87" t="s">
        <v>202</v>
      </c>
    </row>
    <row r="88" spans="1:4">
      <c r="A88" t="s">
        <v>215</v>
      </c>
      <c r="B88" t="s">
        <v>189</v>
      </c>
      <c r="C88" t="s">
        <v>47</v>
      </c>
      <c r="D88" t="s">
        <v>202</v>
      </c>
    </row>
    <row r="89" spans="1:4">
      <c r="A89" t="s">
        <v>215</v>
      </c>
      <c r="B89" t="s">
        <v>189</v>
      </c>
      <c r="C89" t="s">
        <v>52</v>
      </c>
      <c r="D89" t="s">
        <v>202</v>
      </c>
    </row>
    <row r="90" spans="1:4">
      <c r="A90" t="s">
        <v>215</v>
      </c>
      <c r="B90" t="s">
        <v>189</v>
      </c>
      <c r="C90" t="s">
        <v>53</v>
      </c>
      <c r="D90" t="s">
        <v>202</v>
      </c>
    </row>
    <row r="91" spans="1:4">
      <c r="A91" t="s">
        <v>215</v>
      </c>
      <c r="B91" t="s">
        <v>189</v>
      </c>
      <c r="C91" t="s">
        <v>55</v>
      </c>
      <c r="D91" t="s">
        <v>202</v>
      </c>
    </row>
    <row r="92" spans="1:4">
      <c r="A92" t="s">
        <v>215</v>
      </c>
      <c r="B92" t="s">
        <v>189</v>
      </c>
      <c r="C92" t="s">
        <v>56</v>
      </c>
      <c r="D92" t="s">
        <v>202</v>
      </c>
    </row>
    <row r="93" spans="1:4">
      <c r="A93" t="s">
        <v>215</v>
      </c>
      <c r="B93" t="s">
        <v>189</v>
      </c>
      <c r="C93" t="s">
        <v>57</v>
      </c>
      <c r="D93" t="s">
        <v>202</v>
      </c>
    </row>
    <row r="94" spans="1:4">
      <c r="A94" t="s">
        <v>215</v>
      </c>
      <c r="B94" t="s">
        <v>189</v>
      </c>
      <c r="C94" t="s">
        <v>61</v>
      </c>
      <c r="D94" t="s">
        <v>202</v>
      </c>
    </row>
    <row r="95" spans="1:4">
      <c r="A95" t="s">
        <v>215</v>
      </c>
      <c r="B95" t="s">
        <v>189</v>
      </c>
      <c r="C95" t="s">
        <v>63</v>
      </c>
      <c r="D95" t="s">
        <v>202</v>
      </c>
    </row>
    <row r="96" spans="1:4">
      <c r="A96" t="s">
        <v>215</v>
      </c>
      <c r="B96" t="s">
        <v>189</v>
      </c>
      <c r="C96" t="s">
        <v>66</v>
      </c>
      <c r="D96" t="s">
        <v>202</v>
      </c>
    </row>
    <row r="97" spans="1:4">
      <c r="A97" t="s">
        <v>215</v>
      </c>
      <c r="B97" t="s">
        <v>189</v>
      </c>
      <c r="C97" t="s">
        <v>68</v>
      </c>
      <c r="D97" t="s">
        <v>202</v>
      </c>
    </row>
    <row r="98" spans="1:4">
      <c r="A98" t="s">
        <v>215</v>
      </c>
      <c r="B98" t="s">
        <v>189</v>
      </c>
      <c r="C98" t="s">
        <v>71</v>
      </c>
      <c r="D98" t="s">
        <v>202</v>
      </c>
    </row>
    <row r="99" spans="1:4">
      <c r="A99" t="s">
        <v>215</v>
      </c>
      <c r="B99" t="s">
        <v>189</v>
      </c>
      <c r="C99" t="s">
        <v>72</v>
      </c>
      <c r="D99" t="s">
        <v>202</v>
      </c>
    </row>
    <row r="100" spans="1:4">
      <c r="A100" t="s">
        <v>215</v>
      </c>
      <c r="B100" t="s">
        <v>189</v>
      </c>
      <c r="C100" t="s">
        <v>73</v>
      </c>
      <c r="D100" t="s">
        <v>202</v>
      </c>
    </row>
    <row r="101" spans="1:4">
      <c r="A101" t="s">
        <v>215</v>
      </c>
      <c r="B101" t="s">
        <v>189</v>
      </c>
      <c r="C101" t="s">
        <v>75</v>
      </c>
      <c r="D101" t="s">
        <v>202</v>
      </c>
    </row>
    <row r="102" spans="1:4">
      <c r="A102" t="s">
        <v>215</v>
      </c>
      <c r="B102" t="s">
        <v>189</v>
      </c>
      <c r="C102" t="s">
        <v>78</v>
      </c>
      <c r="D102" t="s">
        <v>202</v>
      </c>
    </row>
    <row r="103" spans="1:4">
      <c r="A103" t="s">
        <v>215</v>
      </c>
      <c r="B103" t="s">
        <v>189</v>
      </c>
      <c r="C103" t="s">
        <v>79</v>
      </c>
      <c r="D103" t="s">
        <v>202</v>
      </c>
    </row>
    <row r="104" spans="1:4">
      <c r="A104" t="s">
        <v>215</v>
      </c>
      <c r="B104" t="s">
        <v>189</v>
      </c>
      <c r="C104" t="s">
        <v>80</v>
      </c>
      <c r="D104" t="s">
        <v>202</v>
      </c>
    </row>
    <row r="105" spans="1:4">
      <c r="A105" t="s">
        <v>215</v>
      </c>
      <c r="B105" t="s">
        <v>189</v>
      </c>
      <c r="C105" t="s">
        <v>81</v>
      </c>
      <c r="D105" t="s">
        <v>202</v>
      </c>
    </row>
    <row r="106" spans="1:4">
      <c r="A106" t="s">
        <v>215</v>
      </c>
      <c r="B106" t="s">
        <v>189</v>
      </c>
      <c r="C106" t="s">
        <v>82</v>
      </c>
      <c r="D106" t="s">
        <v>202</v>
      </c>
    </row>
    <row r="107" spans="1:4">
      <c r="A107" t="s">
        <v>217</v>
      </c>
      <c r="B107" t="s">
        <v>189</v>
      </c>
      <c r="C107" t="s">
        <v>85</v>
      </c>
      <c r="D107" t="s">
        <v>202</v>
      </c>
    </row>
    <row r="108" spans="1:4">
      <c r="A108" t="s">
        <v>217</v>
      </c>
      <c r="B108" t="s">
        <v>189</v>
      </c>
      <c r="C108" t="s">
        <v>104</v>
      </c>
      <c r="D108" t="s">
        <v>202</v>
      </c>
    </row>
    <row r="109" spans="1:4">
      <c r="A109" t="s">
        <v>217</v>
      </c>
      <c r="B109" t="s">
        <v>189</v>
      </c>
      <c r="C109" t="s">
        <v>105</v>
      </c>
      <c r="D109" t="s">
        <v>202</v>
      </c>
    </row>
    <row r="110" spans="1:4">
      <c r="A110" t="s">
        <v>218</v>
      </c>
      <c r="B110" t="s">
        <v>189</v>
      </c>
      <c r="C110" t="s">
        <v>85</v>
      </c>
      <c r="D110" t="s">
        <v>202</v>
      </c>
    </row>
    <row r="111" spans="1:4">
      <c r="A111" t="s">
        <v>218</v>
      </c>
      <c r="B111" t="s">
        <v>189</v>
      </c>
      <c r="C111" t="s">
        <v>91</v>
      </c>
      <c r="D111" t="s">
        <v>202</v>
      </c>
    </row>
    <row r="112" spans="1:4">
      <c r="A112" t="s">
        <v>218</v>
      </c>
      <c r="B112" t="s">
        <v>189</v>
      </c>
      <c r="C112" t="s">
        <v>100</v>
      </c>
      <c r="D112" t="s">
        <v>202</v>
      </c>
    </row>
    <row r="113" spans="1:4">
      <c r="A113" t="s">
        <v>218</v>
      </c>
      <c r="B113" t="s">
        <v>189</v>
      </c>
      <c r="C113" t="s">
        <v>103</v>
      </c>
      <c r="D113" t="s">
        <v>202</v>
      </c>
    </row>
    <row r="114" spans="1:4">
      <c r="A114" t="s">
        <v>219</v>
      </c>
      <c r="B114" t="s">
        <v>189</v>
      </c>
      <c r="C114" t="s">
        <v>93</v>
      </c>
      <c r="D114" t="s">
        <v>202</v>
      </c>
    </row>
    <row r="115" spans="1:4">
      <c r="A115" t="s">
        <v>219</v>
      </c>
      <c r="B115" t="s">
        <v>189</v>
      </c>
      <c r="C115" t="s">
        <v>100</v>
      </c>
      <c r="D115" t="s">
        <v>202</v>
      </c>
    </row>
    <row r="116" spans="1:4">
      <c r="A116" t="s">
        <v>219</v>
      </c>
      <c r="B116" t="s">
        <v>189</v>
      </c>
      <c r="C116" t="s">
        <v>101</v>
      </c>
      <c r="D116" t="s">
        <v>202</v>
      </c>
    </row>
    <row r="117" spans="1:4">
      <c r="A117" t="s">
        <v>220</v>
      </c>
      <c r="B117" t="s">
        <v>189</v>
      </c>
      <c r="C117" t="s">
        <v>101</v>
      </c>
      <c r="D117" t="s">
        <v>202</v>
      </c>
    </row>
    <row r="118" spans="1:4">
      <c r="A118" t="s">
        <v>221</v>
      </c>
      <c r="B118" t="s">
        <v>189</v>
      </c>
      <c r="C118" t="s">
        <v>93</v>
      </c>
      <c r="D118" t="s">
        <v>202</v>
      </c>
    </row>
    <row r="119" spans="1:4">
      <c r="A119" t="s">
        <v>221</v>
      </c>
      <c r="B119" t="s">
        <v>189</v>
      </c>
      <c r="C119" t="s">
        <v>100</v>
      </c>
      <c r="D119" t="s">
        <v>202</v>
      </c>
    </row>
    <row r="120" spans="1:4">
      <c r="A120" t="s">
        <v>221</v>
      </c>
      <c r="B120" t="s">
        <v>189</v>
      </c>
      <c r="C120" t="s">
        <v>101</v>
      </c>
      <c r="D120" t="s">
        <v>202</v>
      </c>
    </row>
    <row r="121" spans="1:4">
      <c r="A121" t="s">
        <v>221</v>
      </c>
      <c r="B121" t="s">
        <v>189</v>
      </c>
      <c r="C121" t="s">
        <v>103</v>
      </c>
      <c r="D121" t="s">
        <v>202</v>
      </c>
    </row>
    <row r="122" spans="1:4">
      <c r="A122" t="s">
        <v>221</v>
      </c>
      <c r="B122" t="s">
        <v>189</v>
      </c>
      <c r="C122" t="s">
        <v>104</v>
      </c>
      <c r="D122" t="s">
        <v>202</v>
      </c>
    </row>
    <row r="123" spans="1:4">
      <c r="A123" t="s">
        <v>221</v>
      </c>
      <c r="B123" t="s">
        <v>189</v>
      </c>
      <c r="C123" t="s">
        <v>106</v>
      </c>
      <c r="D123" t="s">
        <v>202</v>
      </c>
    </row>
    <row r="124" spans="1:4">
      <c r="A124" t="s">
        <v>222</v>
      </c>
      <c r="B124" t="s">
        <v>189</v>
      </c>
      <c r="C124" t="s">
        <v>93</v>
      </c>
      <c r="D124" t="s">
        <v>202</v>
      </c>
    </row>
    <row r="125" spans="1:4">
      <c r="A125" t="s">
        <v>222</v>
      </c>
      <c r="B125" t="s">
        <v>189</v>
      </c>
      <c r="C125" t="s">
        <v>100</v>
      </c>
      <c r="D125" t="s">
        <v>202</v>
      </c>
    </row>
    <row r="126" spans="1:4">
      <c r="A126" t="s">
        <v>222</v>
      </c>
      <c r="B126" t="s">
        <v>189</v>
      </c>
      <c r="C126" t="s">
        <v>101</v>
      </c>
      <c r="D126" t="s">
        <v>202</v>
      </c>
    </row>
    <row r="127" spans="1:4">
      <c r="A127" t="s">
        <v>222</v>
      </c>
      <c r="B127" t="s">
        <v>189</v>
      </c>
      <c r="C127" t="s">
        <v>103</v>
      </c>
      <c r="D127" t="s">
        <v>202</v>
      </c>
    </row>
    <row r="128" spans="1:4">
      <c r="A128" t="s">
        <v>225</v>
      </c>
      <c r="B128" t="s">
        <v>189</v>
      </c>
      <c r="C128" t="s">
        <v>111</v>
      </c>
      <c r="D128" t="s">
        <v>202</v>
      </c>
    </row>
    <row r="129" spans="1:4">
      <c r="A129" t="s">
        <v>225</v>
      </c>
      <c r="B129" t="s">
        <v>189</v>
      </c>
      <c r="C129" t="s">
        <v>116</v>
      </c>
      <c r="D129" t="s">
        <v>202</v>
      </c>
    </row>
    <row r="130" spans="1:4">
      <c r="A130" t="s">
        <v>225</v>
      </c>
      <c r="B130" t="s">
        <v>189</v>
      </c>
      <c r="C130" t="s">
        <v>118</v>
      </c>
      <c r="D130" t="s">
        <v>202</v>
      </c>
    </row>
    <row r="131" spans="1:4">
      <c r="A131" t="s">
        <v>225</v>
      </c>
      <c r="B131" t="s">
        <v>189</v>
      </c>
      <c r="C131" t="s">
        <v>119</v>
      </c>
      <c r="D131" t="s">
        <v>202</v>
      </c>
    </row>
    <row r="132" spans="1:4">
      <c r="A132" t="s">
        <v>225</v>
      </c>
      <c r="B132" t="s">
        <v>189</v>
      </c>
      <c r="C132" t="s">
        <v>121</v>
      </c>
      <c r="D132" t="s">
        <v>202</v>
      </c>
    </row>
    <row r="133" spans="1:4">
      <c r="A133" t="s">
        <v>225</v>
      </c>
      <c r="B133" t="s">
        <v>189</v>
      </c>
      <c r="C133" t="s">
        <v>124</v>
      </c>
      <c r="D133" t="s">
        <v>202</v>
      </c>
    </row>
    <row r="134" spans="1:4">
      <c r="A134" t="s">
        <v>225</v>
      </c>
      <c r="B134" t="s">
        <v>189</v>
      </c>
      <c r="C134" t="s">
        <v>128</v>
      </c>
      <c r="D134" t="s">
        <v>202</v>
      </c>
    </row>
    <row r="135" spans="1:4">
      <c r="A135" t="s">
        <v>225</v>
      </c>
      <c r="B135" t="s">
        <v>189</v>
      </c>
      <c r="C135" t="s">
        <v>129</v>
      </c>
      <c r="D135" t="s">
        <v>202</v>
      </c>
    </row>
    <row r="136" spans="1:4">
      <c r="A136" t="s">
        <v>226</v>
      </c>
      <c r="B136" t="s">
        <v>189</v>
      </c>
      <c r="C136" t="s">
        <v>107</v>
      </c>
      <c r="D136" t="s">
        <v>202</v>
      </c>
    </row>
    <row r="137" spans="1:4">
      <c r="A137" t="s">
        <v>226</v>
      </c>
      <c r="B137" t="s">
        <v>189</v>
      </c>
      <c r="C137" t="s">
        <v>111</v>
      </c>
      <c r="D137" t="s">
        <v>202</v>
      </c>
    </row>
    <row r="138" spans="1:4">
      <c r="A138" t="s">
        <v>226</v>
      </c>
      <c r="B138" t="s">
        <v>189</v>
      </c>
      <c r="C138" t="s">
        <v>116</v>
      </c>
      <c r="D138" t="s">
        <v>202</v>
      </c>
    </row>
    <row r="139" spans="1:4">
      <c r="A139" t="s">
        <v>226</v>
      </c>
      <c r="B139" t="s">
        <v>189</v>
      </c>
      <c r="C139" t="s">
        <v>118</v>
      </c>
      <c r="D139" t="s">
        <v>202</v>
      </c>
    </row>
    <row r="140" spans="1:4">
      <c r="A140" t="s">
        <v>226</v>
      </c>
      <c r="B140" t="s">
        <v>189</v>
      </c>
      <c r="C140" t="s">
        <v>119</v>
      </c>
      <c r="D140" t="s">
        <v>202</v>
      </c>
    </row>
    <row r="141" spans="1:4">
      <c r="A141" t="s">
        <v>226</v>
      </c>
      <c r="B141" t="s">
        <v>189</v>
      </c>
      <c r="C141" t="s">
        <v>120</v>
      </c>
      <c r="D141" t="s">
        <v>202</v>
      </c>
    </row>
    <row r="142" spans="1:4">
      <c r="A142" t="s">
        <v>226</v>
      </c>
      <c r="B142" t="s">
        <v>189</v>
      </c>
      <c r="C142" t="s">
        <v>121</v>
      </c>
      <c r="D142" t="s">
        <v>202</v>
      </c>
    </row>
    <row r="143" spans="1:4">
      <c r="A143" t="s">
        <v>226</v>
      </c>
      <c r="B143" t="s">
        <v>189</v>
      </c>
      <c r="C143" t="s">
        <v>124</v>
      </c>
      <c r="D143" t="s">
        <v>202</v>
      </c>
    </row>
    <row r="144" spans="1:4">
      <c r="A144" t="s">
        <v>226</v>
      </c>
      <c r="B144" t="s">
        <v>189</v>
      </c>
      <c r="C144" t="s">
        <v>126</v>
      </c>
      <c r="D144" t="s">
        <v>202</v>
      </c>
    </row>
    <row r="145" spans="1:4">
      <c r="A145" t="s">
        <v>226</v>
      </c>
      <c r="B145" t="s">
        <v>189</v>
      </c>
      <c r="C145" t="s">
        <v>128</v>
      </c>
      <c r="D145" t="s">
        <v>202</v>
      </c>
    </row>
    <row r="146" spans="1:4">
      <c r="A146" t="s">
        <v>226</v>
      </c>
      <c r="B146" t="s">
        <v>189</v>
      </c>
      <c r="C146" t="s">
        <v>129</v>
      </c>
      <c r="D146" t="s">
        <v>202</v>
      </c>
    </row>
    <row r="147" spans="1:4">
      <c r="A147" t="s">
        <v>227</v>
      </c>
      <c r="B147" t="s">
        <v>189</v>
      </c>
      <c r="C147" t="s">
        <v>121</v>
      </c>
      <c r="D147" t="s">
        <v>202</v>
      </c>
    </row>
    <row r="148" spans="1:4">
      <c r="A148" t="s">
        <v>227</v>
      </c>
      <c r="B148" t="s">
        <v>189</v>
      </c>
      <c r="C148" t="s">
        <v>124</v>
      </c>
      <c r="D148" t="s">
        <v>202</v>
      </c>
    </row>
    <row r="149" spans="1:4">
      <c r="A149" t="s">
        <v>227</v>
      </c>
      <c r="B149" t="s">
        <v>189</v>
      </c>
      <c r="C149" t="s">
        <v>126</v>
      </c>
      <c r="D149" t="s">
        <v>202</v>
      </c>
    </row>
    <row r="150" spans="1:4">
      <c r="A150" t="s">
        <v>227</v>
      </c>
      <c r="B150" t="s">
        <v>189</v>
      </c>
      <c r="C150" t="s">
        <v>128</v>
      </c>
      <c r="D150" t="s">
        <v>202</v>
      </c>
    </row>
    <row r="151" spans="1:4">
      <c r="A151" t="s">
        <v>227</v>
      </c>
      <c r="B151" t="s">
        <v>189</v>
      </c>
      <c r="C151" t="s">
        <v>129</v>
      </c>
      <c r="D151" t="s">
        <v>202</v>
      </c>
    </row>
    <row r="152" spans="1:4">
      <c r="A152" t="s">
        <v>228</v>
      </c>
      <c r="B152" t="s">
        <v>189</v>
      </c>
      <c r="C152" t="s">
        <v>121</v>
      </c>
      <c r="D152" t="s">
        <v>202</v>
      </c>
    </row>
    <row r="153" spans="1:4">
      <c r="A153" t="s">
        <v>228</v>
      </c>
      <c r="B153" t="s">
        <v>189</v>
      </c>
      <c r="C153" t="s">
        <v>124</v>
      </c>
      <c r="D153" t="s">
        <v>202</v>
      </c>
    </row>
    <row r="154" spans="1:4">
      <c r="A154" t="s">
        <v>228</v>
      </c>
      <c r="B154" t="s">
        <v>189</v>
      </c>
      <c r="C154" t="s">
        <v>125</v>
      </c>
      <c r="D154" t="s">
        <v>202</v>
      </c>
    </row>
    <row r="155" spans="1:4">
      <c r="A155" t="s">
        <v>228</v>
      </c>
      <c r="B155" t="s">
        <v>189</v>
      </c>
      <c r="C155" t="s">
        <v>126</v>
      </c>
      <c r="D155" t="s">
        <v>202</v>
      </c>
    </row>
    <row r="156" spans="1:4">
      <c r="A156" t="s">
        <v>228</v>
      </c>
      <c r="B156" t="s">
        <v>189</v>
      </c>
      <c r="C156" t="s">
        <v>128</v>
      </c>
      <c r="D156" t="s">
        <v>202</v>
      </c>
    </row>
    <row r="157" spans="1:4">
      <c r="A157" t="s">
        <v>228</v>
      </c>
      <c r="B157" t="s">
        <v>189</v>
      </c>
      <c r="C157" t="s">
        <v>130</v>
      </c>
      <c r="D157" t="s">
        <v>202</v>
      </c>
    </row>
    <row r="158" spans="1:4">
      <c r="A158" t="s">
        <v>228</v>
      </c>
      <c r="B158" t="s">
        <v>189</v>
      </c>
      <c r="C158" t="s">
        <v>131</v>
      </c>
      <c r="D158" t="s">
        <v>202</v>
      </c>
    </row>
    <row r="159" spans="1:4">
      <c r="A159" t="s">
        <v>228</v>
      </c>
      <c r="B159" t="s">
        <v>189</v>
      </c>
      <c r="C159" t="s">
        <v>132</v>
      </c>
      <c r="D159" t="s">
        <v>202</v>
      </c>
    </row>
    <row r="160" spans="1:4">
      <c r="A160" t="s">
        <v>229</v>
      </c>
      <c r="B160" t="s">
        <v>189</v>
      </c>
      <c r="C160" t="s">
        <v>111</v>
      </c>
      <c r="D160" t="s">
        <v>202</v>
      </c>
    </row>
    <row r="161" spans="1:4">
      <c r="A161" t="s">
        <v>230</v>
      </c>
      <c r="B161" t="s">
        <v>189</v>
      </c>
      <c r="C161" t="s">
        <v>125</v>
      </c>
      <c r="D161" t="s">
        <v>202</v>
      </c>
    </row>
    <row r="162" spans="1:4">
      <c r="A162" t="s">
        <v>230</v>
      </c>
      <c r="B162" t="s">
        <v>189</v>
      </c>
      <c r="C162" t="s">
        <v>126</v>
      </c>
      <c r="D162" t="s">
        <v>202</v>
      </c>
    </row>
    <row r="163" spans="1:4">
      <c r="A163" t="s">
        <v>230</v>
      </c>
      <c r="B163" t="s">
        <v>189</v>
      </c>
      <c r="C163" t="s">
        <v>132</v>
      </c>
      <c r="D163" t="s">
        <v>202</v>
      </c>
    </row>
    <row r="164" spans="1:4">
      <c r="A164" t="s">
        <v>232</v>
      </c>
      <c r="B164" t="s">
        <v>189</v>
      </c>
      <c r="C164" t="s">
        <v>162</v>
      </c>
      <c r="D164" t="s">
        <v>202</v>
      </c>
    </row>
    <row r="165" spans="1:4">
      <c r="A165" t="s">
        <v>232</v>
      </c>
      <c r="B165" t="s">
        <v>189</v>
      </c>
      <c r="C165" t="s">
        <v>170</v>
      </c>
      <c r="D165" t="s">
        <v>202</v>
      </c>
    </row>
    <row r="166" spans="1:4">
      <c r="A166" t="s">
        <v>232</v>
      </c>
      <c r="B166" t="s">
        <v>189</v>
      </c>
      <c r="C166" t="s">
        <v>172</v>
      </c>
      <c r="D166" t="s">
        <v>202</v>
      </c>
    </row>
    <row r="167" spans="1:4">
      <c r="A167" t="s">
        <v>232</v>
      </c>
      <c r="B167" t="s">
        <v>189</v>
      </c>
      <c r="C167" t="s">
        <v>174</v>
      </c>
      <c r="D167" t="s">
        <v>202</v>
      </c>
    </row>
    <row r="168" spans="1:4">
      <c r="A168" t="s">
        <v>232</v>
      </c>
      <c r="B168" t="s">
        <v>189</v>
      </c>
      <c r="C168" t="s">
        <v>178</v>
      </c>
      <c r="D168" t="s">
        <v>202</v>
      </c>
    </row>
    <row r="169" spans="1:4">
      <c r="A169" t="s">
        <v>232</v>
      </c>
      <c r="B169" t="s">
        <v>189</v>
      </c>
      <c r="C169" t="s">
        <v>182</v>
      </c>
      <c r="D169" t="s">
        <v>202</v>
      </c>
    </row>
    <row r="170" spans="1:4">
      <c r="A170" t="s">
        <v>233</v>
      </c>
      <c r="B170" t="s">
        <v>189</v>
      </c>
      <c r="C170" t="s">
        <v>161</v>
      </c>
      <c r="D170" t="s">
        <v>202</v>
      </c>
    </row>
    <row r="171" spans="1:4">
      <c r="A171" t="s">
        <v>233</v>
      </c>
      <c r="B171" t="s">
        <v>189</v>
      </c>
      <c r="C171" t="s">
        <v>162</v>
      </c>
      <c r="D171" t="s">
        <v>202</v>
      </c>
    </row>
    <row r="172" spans="1:4">
      <c r="A172" t="s">
        <v>233</v>
      </c>
      <c r="B172" t="s">
        <v>189</v>
      </c>
      <c r="C172" t="s">
        <v>163</v>
      </c>
      <c r="D172" t="s">
        <v>202</v>
      </c>
    </row>
    <row r="173" spans="1:4">
      <c r="A173" t="s">
        <v>233</v>
      </c>
      <c r="B173" t="s">
        <v>189</v>
      </c>
      <c r="C173" t="s">
        <v>166</v>
      </c>
      <c r="D173" t="s">
        <v>202</v>
      </c>
    </row>
    <row r="174" spans="1:4">
      <c r="A174" t="s">
        <v>233</v>
      </c>
      <c r="B174" t="s">
        <v>189</v>
      </c>
      <c r="C174" t="s">
        <v>169</v>
      </c>
      <c r="D174" t="s">
        <v>202</v>
      </c>
    </row>
    <row r="175" spans="1:4">
      <c r="A175" t="s">
        <v>233</v>
      </c>
      <c r="B175" t="s">
        <v>189</v>
      </c>
      <c r="C175" t="s">
        <v>170</v>
      </c>
      <c r="D175" t="s">
        <v>202</v>
      </c>
    </row>
    <row r="176" spans="1:4">
      <c r="A176" t="s">
        <v>233</v>
      </c>
      <c r="B176" t="s">
        <v>189</v>
      </c>
      <c r="C176" t="s">
        <v>171</v>
      </c>
      <c r="D176" t="s">
        <v>202</v>
      </c>
    </row>
    <row r="177" spans="1:4">
      <c r="A177" t="s">
        <v>233</v>
      </c>
      <c r="B177" t="s">
        <v>189</v>
      </c>
      <c r="C177" t="s">
        <v>172</v>
      </c>
      <c r="D177" t="s">
        <v>202</v>
      </c>
    </row>
    <row r="178" spans="1:4">
      <c r="A178" t="s">
        <v>233</v>
      </c>
      <c r="B178" t="s">
        <v>189</v>
      </c>
      <c r="C178" t="s">
        <v>174</v>
      </c>
      <c r="D178" t="s">
        <v>202</v>
      </c>
    </row>
    <row r="179" spans="1:4">
      <c r="A179" t="s">
        <v>233</v>
      </c>
      <c r="B179" t="s">
        <v>189</v>
      </c>
      <c r="C179" t="s">
        <v>175</v>
      </c>
      <c r="D179" t="s">
        <v>202</v>
      </c>
    </row>
    <row r="180" spans="1:4">
      <c r="A180" t="s">
        <v>233</v>
      </c>
      <c r="B180" t="s">
        <v>189</v>
      </c>
      <c r="C180" t="s">
        <v>176</v>
      </c>
      <c r="D180" t="s">
        <v>202</v>
      </c>
    </row>
    <row r="181" spans="1:4">
      <c r="A181" t="s">
        <v>233</v>
      </c>
      <c r="B181" t="s">
        <v>189</v>
      </c>
      <c r="C181" t="s">
        <v>177</v>
      </c>
      <c r="D181" t="s">
        <v>202</v>
      </c>
    </row>
    <row r="182" spans="1:4">
      <c r="A182" t="s">
        <v>233</v>
      </c>
      <c r="B182" t="s">
        <v>189</v>
      </c>
      <c r="C182" t="s">
        <v>182</v>
      </c>
      <c r="D182" t="s">
        <v>202</v>
      </c>
    </row>
    <row r="183" spans="1:4">
      <c r="A183" t="s">
        <v>234</v>
      </c>
      <c r="B183" t="s">
        <v>189</v>
      </c>
      <c r="C183" t="s">
        <v>167</v>
      </c>
      <c r="D183" t="s">
        <v>202</v>
      </c>
    </row>
    <row r="184" spans="1:4">
      <c r="A184" t="s">
        <v>234</v>
      </c>
      <c r="B184" t="s">
        <v>189</v>
      </c>
      <c r="C184" t="s">
        <v>169</v>
      </c>
      <c r="D184" t="s">
        <v>202</v>
      </c>
    </row>
    <row r="185" spans="1:4">
      <c r="A185" t="s">
        <v>234</v>
      </c>
      <c r="B185" t="s">
        <v>189</v>
      </c>
      <c r="C185" t="s">
        <v>170</v>
      </c>
      <c r="D185" t="s">
        <v>202</v>
      </c>
    </row>
    <row r="186" spans="1:4">
      <c r="A186" t="s">
        <v>234</v>
      </c>
      <c r="B186" t="s">
        <v>189</v>
      </c>
      <c r="C186" t="s">
        <v>172</v>
      </c>
      <c r="D186" t="s">
        <v>202</v>
      </c>
    </row>
    <row r="187" spans="1:4">
      <c r="A187" t="s">
        <v>234</v>
      </c>
      <c r="B187" t="s">
        <v>189</v>
      </c>
      <c r="C187" t="s">
        <v>174</v>
      </c>
      <c r="D187" t="s">
        <v>202</v>
      </c>
    </row>
    <row r="188" spans="1:4">
      <c r="A188" t="s">
        <v>234</v>
      </c>
      <c r="B188" t="s">
        <v>189</v>
      </c>
      <c r="C188" t="s">
        <v>176</v>
      </c>
      <c r="D188" t="s">
        <v>202</v>
      </c>
    </row>
    <row r="189" spans="1:4">
      <c r="A189" t="s">
        <v>234</v>
      </c>
      <c r="B189" t="s">
        <v>189</v>
      </c>
      <c r="C189" t="s">
        <v>182</v>
      </c>
      <c r="D189" t="s">
        <v>202</v>
      </c>
    </row>
    <row r="190" spans="1:4">
      <c r="A190" t="s">
        <v>235</v>
      </c>
      <c r="B190" t="s">
        <v>189</v>
      </c>
      <c r="C190" t="s">
        <v>153</v>
      </c>
      <c r="D190" t="s">
        <v>202</v>
      </c>
    </row>
    <row r="191" spans="1:4">
      <c r="A191" t="s">
        <v>235</v>
      </c>
      <c r="B191" t="s">
        <v>189</v>
      </c>
      <c r="C191" t="s">
        <v>158</v>
      </c>
      <c r="D191" t="s">
        <v>202</v>
      </c>
    </row>
    <row r="192" spans="1:4">
      <c r="A192" t="s">
        <v>235</v>
      </c>
      <c r="B192" t="s">
        <v>189</v>
      </c>
      <c r="C192" t="s">
        <v>162</v>
      </c>
      <c r="D192" t="s">
        <v>202</v>
      </c>
    </row>
    <row r="193" spans="1:4">
      <c r="A193" t="s">
        <v>235</v>
      </c>
      <c r="B193" t="s">
        <v>189</v>
      </c>
      <c r="C193" t="s">
        <v>163</v>
      </c>
      <c r="D193" t="s">
        <v>202</v>
      </c>
    </row>
    <row r="194" spans="1:4">
      <c r="A194" t="s">
        <v>235</v>
      </c>
      <c r="B194" t="s">
        <v>189</v>
      </c>
      <c r="C194" t="s">
        <v>166</v>
      </c>
      <c r="D194" t="s">
        <v>202</v>
      </c>
    </row>
    <row r="195" spans="1:4">
      <c r="A195" t="s">
        <v>235</v>
      </c>
      <c r="B195" t="s">
        <v>189</v>
      </c>
      <c r="C195" t="s">
        <v>167</v>
      </c>
      <c r="D195" t="s">
        <v>202</v>
      </c>
    </row>
    <row r="196" spans="1:4">
      <c r="A196" t="s">
        <v>235</v>
      </c>
      <c r="B196" t="s">
        <v>189</v>
      </c>
      <c r="C196" t="s">
        <v>170</v>
      </c>
      <c r="D196" t="s">
        <v>202</v>
      </c>
    </row>
    <row r="197" spans="1:4">
      <c r="A197" t="s">
        <v>235</v>
      </c>
      <c r="B197" t="s">
        <v>189</v>
      </c>
      <c r="C197" t="s">
        <v>171</v>
      </c>
      <c r="D197" t="s">
        <v>202</v>
      </c>
    </row>
    <row r="198" spans="1:4">
      <c r="A198" t="s">
        <v>235</v>
      </c>
      <c r="B198" t="s">
        <v>189</v>
      </c>
      <c r="C198" t="s">
        <v>175</v>
      </c>
      <c r="D198" t="s">
        <v>202</v>
      </c>
    </row>
    <row r="199" spans="1:4">
      <c r="A199" t="s">
        <v>235</v>
      </c>
      <c r="B199" t="s">
        <v>189</v>
      </c>
      <c r="C199" t="s">
        <v>179</v>
      </c>
      <c r="D199" t="s">
        <v>202</v>
      </c>
    </row>
    <row r="200" spans="1:4">
      <c r="A200" t="s">
        <v>235</v>
      </c>
      <c r="B200" t="s">
        <v>189</v>
      </c>
      <c r="C200" t="s">
        <v>180</v>
      </c>
      <c r="D200" t="s">
        <v>202</v>
      </c>
    </row>
    <row r="201" spans="1:4">
      <c r="A201" t="s">
        <v>236</v>
      </c>
      <c r="B201" t="s">
        <v>189</v>
      </c>
      <c r="C201" t="s">
        <v>164</v>
      </c>
      <c r="D201" t="s">
        <v>202</v>
      </c>
    </row>
    <row r="202" spans="1:4">
      <c r="A202" t="s">
        <v>236</v>
      </c>
      <c r="B202" t="s">
        <v>189</v>
      </c>
      <c r="C202" t="s">
        <v>167</v>
      </c>
      <c r="D202" t="s">
        <v>202</v>
      </c>
    </row>
    <row r="203" spans="1:4">
      <c r="A203" t="s">
        <v>236</v>
      </c>
      <c r="B203" t="s">
        <v>189</v>
      </c>
      <c r="C203" t="s">
        <v>169</v>
      </c>
      <c r="D203" t="s">
        <v>202</v>
      </c>
    </row>
    <row r="204" spans="1:4">
      <c r="A204" t="s">
        <v>236</v>
      </c>
      <c r="B204" t="s">
        <v>189</v>
      </c>
      <c r="C204" t="s">
        <v>170</v>
      </c>
      <c r="D204" t="s">
        <v>202</v>
      </c>
    </row>
    <row r="205" spans="1:4">
      <c r="A205" t="s">
        <v>236</v>
      </c>
      <c r="B205" t="s">
        <v>189</v>
      </c>
      <c r="C205" t="s">
        <v>172</v>
      </c>
      <c r="D205" t="s">
        <v>202</v>
      </c>
    </row>
    <row r="206" spans="1:4">
      <c r="A206" t="s">
        <v>236</v>
      </c>
      <c r="B206" t="s">
        <v>189</v>
      </c>
      <c r="C206" t="s">
        <v>173</v>
      </c>
      <c r="D206" t="s">
        <v>202</v>
      </c>
    </row>
    <row r="207" spans="1:4">
      <c r="A207" t="s">
        <v>236</v>
      </c>
      <c r="B207" t="s">
        <v>189</v>
      </c>
      <c r="C207" t="s">
        <v>174</v>
      </c>
      <c r="D207" t="s">
        <v>202</v>
      </c>
    </row>
    <row r="208" spans="1:4">
      <c r="A208" t="s">
        <v>236</v>
      </c>
      <c r="B208" t="s">
        <v>189</v>
      </c>
      <c r="C208" t="s">
        <v>176</v>
      </c>
      <c r="D208" t="s">
        <v>202</v>
      </c>
    </row>
    <row r="209" spans="1:4">
      <c r="A209" t="s">
        <v>236</v>
      </c>
      <c r="B209" t="s">
        <v>189</v>
      </c>
      <c r="C209" t="s">
        <v>177</v>
      </c>
      <c r="D209" t="s">
        <v>202</v>
      </c>
    </row>
    <row r="210" spans="1:4">
      <c r="A210" t="s">
        <v>236</v>
      </c>
      <c r="B210" t="s">
        <v>189</v>
      </c>
      <c r="C210" t="s">
        <v>179</v>
      </c>
      <c r="D210" t="s">
        <v>202</v>
      </c>
    </row>
    <row r="211" spans="1:4">
      <c r="A211" t="s">
        <v>236</v>
      </c>
      <c r="B211" t="s">
        <v>189</v>
      </c>
      <c r="C211" t="s">
        <v>181</v>
      </c>
      <c r="D211" t="s">
        <v>202</v>
      </c>
    </row>
    <row r="212" spans="1:4">
      <c r="A212" t="s">
        <v>237</v>
      </c>
      <c r="B212" t="s">
        <v>189</v>
      </c>
      <c r="C212" t="s">
        <v>158</v>
      </c>
      <c r="D212" t="s">
        <v>202</v>
      </c>
    </row>
    <row r="213" spans="1:4">
      <c r="A213" t="s">
        <v>237</v>
      </c>
      <c r="B213" t="s">
        <v>189</v>
      </c>
      <c r="C213" t="s">
        <v>163</v>
      </c>
      <c r="D213" t="s">
        <v>202</v>
      </c>
    </row>
    <row r="214" spans="1:4">
      <c r="A214" t="s">
        <v>237</v>
      </c>
      <c r="B214" t="s">
        <v>189</v>
      </c>
      <c r="C214" t="s">
        <v>166</v>
      </c>
      <c r="D214" t="s">
        <v>202</v>
      </c>
    </row>
    <row r="215" spans="1:4">
      <c r="A215" t="s">
        <v>237</v>
      </c>
      <c r="B215" t="s">
        <v>189</v>
      </c>
      <c r="C215" t="s">
        <v>169</v>
      </c>
      <c r="D215" t="s">
        <v>202</v>
      </c>
    </row>
    <row r="216" spans="1:4">
      <c r="A216" t="s">
        <v>237</v>
      </c>
      <c r="B216" t="s">
        <v>189</v>
      </c>
      <c r="C216" t="s">
        <v>170</v>
      </c>
      <c r="D216" t="s">
        <v>202</v>
      </c>
    </row>
    <row r="217" spans="1:4">
      <c r="A217" t="s">
        <v>237</v>
      </c>
      <c r="B217" t="s">
        <v>189</v>
      </c>
      <c r="C217" t="s">
        <v>171</v>
      </c>
      <c r="D217" t="s">
        <v>202</v>
      </c>
    </row>
    <row r="218" spans="1:4">
      <c r="A218" t="s">
        <v>237</v>
      </c>
      <c r="B218" t="s">
        <v>189</v>
      </c>
      <c r="C218" t="s">
        <v>172</v>
      </c>
      <c r="D218" t="s">
        <v>202</v>
      </c>
    </row>
    <row r="219" spans="1:4">
      <c r="A219" t="s">
        <v>237</v>
      </c>
      <c r="B219" t="s">
        <v>189</v>
      </c>
      <c r="C219" t="s">
        <v>176</v>
      </c>
      <c r="D219" t="s">
        <v>202</v>
      </c>
    </row>
    <row r="220" spans="1:4">
      <c r="A220" t="s">
        <v>237</v>
      </c>
      <c r="B220" t="s">
        <v>189</v>
      </c>
      <c r="C220" t="s">
        <v>177</v>
      </c>
      <c r="D220" t="s">
        <v>202</v>
      </c>
    </row>
    <row r="221" spans="1:4">
      <c r="A221" t="s">
        <v>237</v>
      </c>
      <c r="B221" t="s">
        <v>189</v>
      </c>
      <c r="C221" t="s">
        <v>179</v>
      </c>
      <c r="D221" t="s">
        <v>202</v>
      </c>
    </row>
    <row r="222" spans="1:4">
      <c r="A222" t="s">
        <v>237</v>
      </c>
      <c r="B222" t="s">
        <v>189</v>
      </c>
      <c r="C222" t="s">
        <v>180</v>
      </c>
      <c r="D222" t="s">
        <v>202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T38"/>
  <sheetViews>
    <sheetView workbookViewId="0"/>
  </sheetViews>
  <sheetFormatPr defaultRowHeight="15"/>
  <sheetData>
    <row r="1" spans="1:20">
      <c r="A1" t="s">
        <v>186</v>
      </c>
      <c r="B1" t="s">
        <v>187</v>
      </c>
      <c r="C1" t="s">
        <v>188</v>
      </c>
      <c r="D1" t="s">
        <v>189</v>
      </c>
      <c r="E1" t="s">
        <v>190</v>
      </c>
      <c r="F1" t="s">
        <v>191</v>
      </c>
      <c r="G1" t="s">
        <v>192</v>
      </c>
      <c r="H1" t="s">
        <v>193</v>
      </c>
      <c r="I1" t="s">
        <v>194</v>
      </c>
      <c r="J1" t="s">
        <v>195</v>
      </c>
      <c r="K1" t="s">
        <v>83</v>
      </c>
      <c r="L1" t="s">
        <v>74</v>
      </c>
      <c r="M1" t="s">
        <v>59</v>
      </c>
      <c r="N1" t="s">
        <v>49</v>
      </c>
      <c r="O1" t="s">
        <v>18</v>
      </c>
      <c r="P1" t="s">
        <v>196</v>
      </c>
      <c r="Q1" t="s">
        <v>13</v>
      </c>
      <c r="R1" t="s">
        <v>197</v>
      </c>
      <c r="S1" t="s">
        <v>198</v>
      </c>
      <c r="T1" t="s">
        <v>199</v>
      </c>
    </row>
    <row r="2" spans="1:20">
      <c r="A2" t="s">
        <v>200</v>
      </c>
      <c r="B2">
        <v>7</v>
      </c>
      <c r="C2">
        <v>1</v>
      </c>
      <c r="D2">
        <v>6</v>
      </c>
      <c r="E2">
        <v>14.28571428571428</v>
      </c>
      <c r="F2">
        <v>85.71428571428572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4</v>
      </c>
      <c r="P2">
        <v>0</v>
      </c>
      <c r="Q2">
        <v>4</v>
      </c>
      <c r="R2">
        <v>0</v>
      </c>
      <c r="S2">
        <v>0</v>
      </c>
      <c r="T2">
        <v>0</v>
      </c>
    </row>
    <row r="3" spans="1:20">
      <c r="A3" t="s">
        <v>201</v>
      </c>
      <c r="B3">
        <v>5</v>
      </c>
      <c r="C3">
        <v>1</v>
      </c>
      <c r="D3">
        <v>4</v>
      </c>
      <c r="E3">
        <v>20</v>
      </c>
      <c r="F3">
        <v>80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0</v>
      </c>
      <c r="Q3">
        <v>1</v>
      </c>
      <c r="R3">
        <v>0</v>
      </c>
      <c r="S3">
        <v>0</v>
      </c>
      <c r="T3">
        <v>0</v>
      </c>
    </row>
    <row r="4" spans="1:20">
      <c r="A4" t="s">
        <v>203</v>
      </c>
      <c r="B4">
        <v>2</v>
      </c>
      <c r="C4">
        <v>0</v>
      </c>
      <c r="D4">
        <v>2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2</v>
      </c>
      <c r="R4">
        <v>0</v>
      </c>
      <c r="S4">
        <v>0</v>
      </c>
      <c r="T4">
        <v>0</v>
      </c>
    </row>
    <row r="5" spans="1:20">
      <c r="A5" t="s">
        <v>204</v>
      </c>
      <c r="B5">
        <v>4</v>
      </c>
      <c r="C5">
        <v>2</v>
      </c>
      <c r="D5">
        <v>2</v>
      </c>
      <c r="E5">
        <v>50</v>
      </c>
      <c r="F5">
        <v>50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</row>
    <row r="6" spans="1:20">
      <c r="A6" t="s">
        <v>205</v>
      </c>
      <c r="B6">
        <v>4</v>
      </c>
      <c r="C6">
        <v>2</v>
      </c>
      <c r="D6">
        <v>2</v>
      </c>
      <c r="E6">
        <v>50</v>
      </c>
      <c r="F6">
        <v>50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2</v>
      </c>
      <c r="P6">
        <v>0</v>
      </c>
      <c r="Q6">
        <v>2</v>
      </c>
      <c r="R6">
        <v>0</v>
      </c>
      <c r="S6">
        <v>0</v>
      </c>
      <c r="T6">
        <v>0</v>
      </c>
    </row>
    <row r="7" spans="1:20">
      <c r="A7" t="s">
        <v>206</v>
      </c>
      <c r="B7">
        <v>2</v>
      </c>
      <c r="C7">
        <v>1</v>
      </c>
      <c r="D7">
        <v>1</v>
      </c>
      <c r="E7">
        <v>50</v>
      </c>
      <c r="F7">
        <v>50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</row>
    <row r="8" spans="1:20">
      <c r="A8" t="s">
        <v>207</v>
      </c>
      <c r="B8">
        <v>7</v>
      </c>
      <c r="C8">
        <v>2</v>
      </c>
      <c r="D8">
        <v>5</v>
      </c>
      <c r="E8">
        <v>28.57142857142857</v>
      </c>
      <c r="F8">
        <v>71.42857142857143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v>1</v>
      </c>
      <c r="P8">
        <v>0</v>
      </c>
      <c r="Q8">
        <v>4</v>
      </c>
      <c r="R8">
        <v>0</v>
      </c>
      <c r="S8">
        <v>0</v>
      </c>
      <c r="T8">
        <v>0</v>
      </c>
    </row>
    <row r="9" spans="1:20">
      <c r="A9" t="s">
        <v>208</v>
      </c>
      <c r="B9">
        <v>48</v>
      </c>
      <c r="C9">
        <v>11</v>
      </c>
      <c r="D9">
        <v>37</v>
      </c>
      <c r="E9">
        <v>22.91666666666666</v>
      </c>
      <c r="F9">
        <v>77.08333333333334</v>
      </c>
      <c r="G9">
        <v>0</v>
      </c>
      <c r="H9">
        <v>0</v>
      </c>
      <c r="I9">
        <v>0</v>
      </c>
      <c r="J9">
        <v>0</v>
      </c>
      <c r="K9">
        <v>2</v>
      </c>
      <c r="L9">
        <v>3</v>
      </c>
      <c r="M9">
        <v>4</v>
      </c>
      <c r="N9">
        <v>10</v>
      </c>
      <c r="O9">
        <v>15</v>
      </c>
      <c r="P9">
        <v>0</v>
      </c>
      <c r="Q9">
        <v>63</v>
      </c>
      <c r="R9">
        <v>0</v>
      </c>
      <c r="S9">
        <v>0</v>
      </c>
      <c r="T9">
        <v>0</v>
      </c>
    </row>
    <row r="10" spans="1:20">
      <c r="A10" t="s">
        <v>209</v>
      </c>
      <c r="B10">
        <v>20</v>
      </c>
      <c r="C10">
        <v>4</v>
      </c>
      <c r="D10">
        <v>16</v>
      </c>
      <c r="E10">
        <v>20</v>
      </c>
      <c r="F10">
        <v>80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2</v>
      </c>
      <c r="N10">
        <v>0</v>
      </c>
      <c r="O10">
        <v>2</v>
      </c>
      <c r="P10">
        <v>0</v>
      </c>
      <c r="Q10">
        <v>12</v>
      </c>
      <c r="R10">
        <v>0</v>
      </c>
      <c r="S10">
        <v>0</v>
      </c>
      <c r="T10">
        <v>0</v>
      </c>
    </row>
    <row r="11" spans="1:20">
      <c r="A11" t="s">
        <v>210</v>
      </c>
      <c r="B11">
        <v>12</v>
      </c>
      <c r="C11">
        <v>7</v>
      </c>
      <c r="D11">
        <v>5</v>
      </c>
      <c r="E11">
        <v>58.33333333333334</v>
      </c>
      <c r="F11">
        <v>41.66666666666666</v>
      </c>
      <c r="G11">
        <v>0</v>
      </c>
      <c r="H11">
        <v>0</v>
      </c>
      <c r="I11">
        <v>0</v>
      </c>
      <c r="J11">
        <v>0</v>
      </c>
      <c r="K11">
        <v>1</v>
      </c>
      <c r="L11">
        <v>1</v>
      </c>
      <c r="M11">
        <v>0</v>
      </c>
      <c r="N11">
        <v>3</v>
      </c>
      <c r="O11">
        <v>2</v>
      </c>
      <c r="P11">
        <v>0</v>
      </c>
      <c r="Q11">
        <v>2</v>
      </c>
      <c r="R11">
        <v>0</v>
      </c>
      <c r="S11">
        <v>0</v>
      </c>
      <c r="T11">
        <v>0</v>
      </c>
    </row>
    <row r="12" spans="1:20">
      <c r="A12" t="s">
        <v>211</v>
      </c>
      <c r="B12">
        <v>9</v>
      </c>
      <c r="C12">
        <v>1</v>
      </c>
      <c r="D12">
        <v>8</v>
      </c>
      <c r="E12">
        <v>11.11111111111111</v>
      </c>
      <c r="F12">
        <v>88.88888888888889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3</v>
      </c>
      <c r="R12">
        <v>0</v>
      </c>
      <c r="S12">
        <v>0</v>
      </c>
      <c r="T12">
        <v>0</v>
      </c>
    </row>
    <row r="13" spans="1:20">
      <c r="A13" t="s">
        <v>212</v>
      </c>
      <c r="B13">
        <v>26</v>
      </c>
      <c r="C13">
        <v>10</v>
      </c>
      <c r="D13">
        <v>16</v>
      </c>
      <c r="E13">
        <v>38.46153846153847</v>
      </c>
      <c r="F13">
        <v>61.53846153846153</v>
      </c>
      <c r="G13">
        <v>0</v>
      </c>
      <c r="H13">
        <v>0</v>
      </c>
      <c r="I13">
        <v>0</v>
      </c>
      <c r="J13">
        <v>0</v>
      </c>
      <c r="K13">
        <v>1</v>
      </c>
      <c r="L13">
        <v>2</v>
      </c>
      <c r="M13">
        <v>0</v>
      </c>
      <c r="N13">
        <v>2</v>
      </c>
      <c r="O13">
        <v>5</v>
      </c>
      <c r="P13">
        <v>0</v>
      </c>
      <c r="Q13">
        <v>14</v>
      </c>
      <c r="R13">
        <v>0</v>
      </c>
      <c r="S13">
        <v>0</v>
      </c>
      <c r="T13">
        <v>0</v>
      </c>
    </row>
    <row r="14" spans="1:20">
      <c r="A14" t="s">
        <v>213</v>
      </c>
      <c r="B14">
        <v>3</v>
      </c>
      <c r="C14">
        <v>1</v>
      </c>
      <c r="D14">
        <v>2</v>
      </c>
      <c r="E14">
        <v>33.33333333333333</v>
      </c>
      <c r="F14">
        <v>66.66666666666667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</row>
    <row r="15" spans="1:20">
      <c r="A15" t="s">
        <v>214</v>
      </c>
      <c r="B15">
        <v>14</v>
      </c>
      <c r="C15">
        <v>2</v>
      </c>
      <c r="D15">
        <v>12</v>
      </c>
      <c r="E15">
        <v>14.28571428571428</v>
      </c>
      <c r="F15">
        <v>85.71428571428572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2</v>
      </c>
      <c r="P15">
        <v>0</v>
      </c>
      <c r="Q15">
        <v>8</v>
      </c>
      <c r="R15">
        <v>0</v>
      </c>
      <c r="S15">
        <v>0</v>
      </c>
      <c r="T15">
        <v>0</v>
      </c>
    </row>
    <row r="16" spans="1:20">
      <c r="A16" t="s">
        <v>215</v>
      </c>
      <c r="B16">
        <v>41</v>
      </c>
      <c r="C16">
        <v>11</v>
      </c>
      <c r="D16">
        <v>30</v>
      </c>
      <c r="E16">
        <v>26.82926829268293</v>
      </c>
      <c r="F16">
        <v>73.17073170731707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</v>
      </c>
      <c r="N16">
        <v>5</v>
      </c>
      <c r="O16">
        <v>4</v>
      </c>
      <c r="P16">
        <v>0</v>
      </c>
      <c r="Q16">
        <v>26</v>
      </c>
      <c r="R16">
        <v>0</v>
      </c>
      <c r="S16">
        <v>0</v>
      </c>
      <c r="T16">
        <v>0</v>
      </c>
    </row>
    <row r="17" spans="1:20">
      <c r="A17" t="s">
        <v>216</v>
      </c>
      <c r="B17">
        <v>7</v>
      </c>
      <c r="C17">
        <v>0</v>
      </c>
      <c r="D17">
        <v>7</v>
      </c>
      <c r="E17">
        <v>0</v>
      </c>
      <c r="F17">
        <v>100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0</v>
      </c>
      <c r="P17">
        <v>0</v>
      </c>
      <c r="Q17">
        <v>14</v>
      </c>
      <c r="R17">
        <v>0</v>
      </c>
      <c r="S17">
        <v>0</v>
      </c>
      <c r="T17">
        <v>0</v>
      </c>
    </row>
    <row r="18" spans="1:20">
      <c r="A18" t="s">
        <v>217</v>
      </c>
      <c r="B18">
        <v>3</v>
      </c>
      <c r="C18">
        <v>0</v>
      </c>
      <c r="D18">
        <v>3</v>
      </c>
      <c r="E18">
        <v>0</v>
      </c>
      <c r="F18">
        <v>100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2</v>
      </c>
      <c r="R18">
        <v>0</v>
      </c>
      <c r="S18">
        <v>0</v>
      </c>
      <c r="T18">
        <v>0</v>
      </c>
    </row>
    <row r="19" spans="1:20">
      <c r="A19" t="s">
        <v>218</v>
      </c>
      <c r="B19">
        <v>5</v>
      </c>
      <c r="C19">
        <v>1</v>
      </c>
      <c r="D19">
        <v>4</v>
      </c>
      <c r="E19">
        <v>20</v>
      </c>
      <c r="F19">
        <v>80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0</v>
      </c>
      <c r="O19">
        <v>0</v>
      </c>
      <c r="P19">
        <v>0</v>
      </c>
      <c r="Q19">
        <v>3</v>
      </c>
      <c r="R19">
        <v>0</v>
      </c>
      <c r="S19">
        <v>0</v>
      </c>
      <c r="T19">
        <v>0</v>
      </c>
    </row>
    <row r="20" spans="1:20">
      <c r="A20" t="s">
        <v>219</v>
      </c>
      <c r="B20">
        <v>3</v>
      </c>
      <c r="C20">
        <v>0</v>
      </c>
      <c r="D20">
        <v>3</v>
      </c>
      <c r="E20">
        <v>0</v>
      </c>
      <c r="F20">
        <v>100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 spans="1:20">
      <c r="A21" t="s">
        <v>220</v>
      </c>
      <c r="B21">
        <v>1</v>
      </c>
      <c r="C21">
        <v>0</v>
      </c>
      <c r="D21">
        <v>1</v>
      </c>
      <c r="E21">
        <v>0</v>
      </c>
      <c r="F21">
        <v>100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</v>
      </c>
      <c r="R21">
        <v>0</v>
      </c>
      <c r="S21">
        <v>0</v>
      </c>
      <c r="T21">
        <v>0</v>
      </c>
    </row>
    <row r="22" spans="1:20">
      <c r="A22" t="s">
        <v>221</v>
      </c>
      <c r="B22">
        <v>6</v>
      </c>
      <c r="C22">
        <v>0</v>
      </c>
      <c r="D22">
        <v>6</v>
      </c>
      <c r="E22">
        <v>0</v>
      </c>
      <c r="F22">
        <v>100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6</v>
      </c>
      <c r="R22">
        <v>0</v>
      </c>
      <c r="S22">
        <v>0</v>
      </c>
      <c r="T22">
        <v>0</v>
      </c>
    </row>
    <row r="23" spans="1:20">
      <c r="A23" t="s">
        <v>222</v>
      </c>
      <c r="B23">
        <v>4</v>
      </c>
      <c r="C23">
        <v>0</v>
      </c>
      <c r="D23">
        <v>4</v>
      </c>
      <c r="E23">
        <v>0</v>
      </c>
      <c r="F23">
        <v>100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3</v>
      </c>
      <c r="R23">
        <v>0</v>
      </c>
      <c r="S23">
        <v>0</v>
      </c>
      <c r="T23">
        <v>0</v>
      </c>
    </row>
    <row r="24" spans="1:20">
      <c r="A24" t="s">
        <v>223</v>
      </c>
      <c r="B24">
        <v>10</v>
      </c>
      <c r="C24">
        <v>1</v>
      </c>
      <c r="D24">
        <v>9</v>
      </c>
      <c r="E24">
        <v>10</v>
      </c>
      <c r="F24">
        <v>90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8</v>
      </c>
      <c r="P24">
        <v>0</v>
      </c>
      <c r="Q24">
        <v>21</v>
      </c>
      <c r="R24">
        <v>0</v>
      </c>
      <c r="S24">
        <v>0</v>
      </c>
      <c r="T24">
        <v>0</v>
      </c>
    </row>
    <row r="25" spans="1:20">
      <c r="A25" t="s">
        <v>224</v>
      </c>
      <c r="B25">
        <v>1</v>
      </c>
      <c r="C25">
        <v>1</v>
      </c>
      <c r="D25">
        <v>0</v>
      </c>
      <c r="E25">
        <v>100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</row>
    <row r="26" spans="1:20">
      <c r="A26" t="s">
        <v>225</v>
      </c>
      <c r="B26">
        <v>10</v>
      </c>
      <c r="C26">
        <v>2</v>
      </c>
      <c r="D26">
        <v>8</v>
      </c>
      <c r="E26">
        <v>20</v>
      </c>
      <c r="F26">
        <v>80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2</v>
      </c>
      <c r="P26">
        <v>0</v>
      </c>
      <c r="Q26">
        <v>7</v>
      </c>
      <c r="R26">
        <v>0</v>
      </c>
      <c r="S26">
        <v>0</v>
      </c>
      <c r="T26">
        <v>0</v>
      </c>
    </row>
    <row r="27" spans="1:20">
      <c r="A27" t="s">
        <v>226</v>
      </c>
      <c r="B27">
        <v>11</v>
      </c>
      <c r="C27">
        <v>0</v>
      </c>
      <c r="D27">
        <v>11</v>
      </c>
      <c r="E27">
        <v>0</v>
      </c>
      <c r="F27">
        <v>100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10</v>
      </c>
      <c r="R27">
        <v>0</v>
      </c>
      <c r="S27">
        <v>0</v>
      </c>
      <c r="T27">
        <v>0</v>
      </c>
    </row>
    <row r="28" spans="1:20">
      <c r="A28" t="s">
        <v>227</v>
      </c>
      <c r="B28">
        <v>10</v>
      </c>
      <c r="C28">
        <v>5</v>
      </c>
      <c r="D28">
        <v>5</v>
      </c>
      <c r="E28">
        <v>50</v>
      </c>
      <c r="F28">
        <v>50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4</v>
      </c>
      <c r="P28">
        <v>0</v>
      </c>
      <c r="Q28">
        <v>4</v>
      </c>
      <c r="R28">
        <v>0</v>
      </c>
      <c r="S28">
        <v>0</v>
      </c>
      <c r="T28">
        <v>0</v>
      </c>
    </row>
    <row r="29" spans="1:20">
      <c r="A29" t="s">
        <v>228</v>
      </c>
      <c r="B29">
        <v>10</v>
      </c>
      <c r="C29">
        <v>2</v>
      </c>
      <c r="D29">
        <v>8</v>
      </c>
      <c r="E29">
        <v>20</v>
      </c>
      <c r="F29">
        <v>80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</v>
      </c>
      <c r="P29">
        <v>0</v>
      </c>
      <c r="Q29">
        <v>8</v>
      </c>
      <c r="R29">
        <v>0</v>
      </c>
      <c r="S29">
        <v>0</v>
      </c>
      <c r="T29">
        <v>0</v>
      </c>
    </row>
    <row r="30" spans="1:20">
      <c r="A30" t="s">
        <v>229</v>
      </c>
      <c r="B30">
        <v>1</v>
      </c>
      <c r="C30">
        <v>0</v>
      </c>
      <c r="D30">
        <v>1</v>
      </c>
      <c r="E30">
        <v>0</v>
      </c>
      <c r="F30">
        <v>100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</v>
      </c>
      <c r="R30">
        <v>0</v>
      </c>
      <c r="S30">
        <v>0</v>
      </c>
      <c r="T30">
        <v>0</v>
      </c>
    </row>
    <row r="31" spans="1:20">
      <c r="A31" t="s">
        <v>230</v>
      </c>
      <c r="B31">
        <v>3</v>
      </c>
      <c r="C31">
        <v>0</v>
      </c>
      <c r="D31">
        <v>3</v>
      </c>
      <c r="E31">
        <v>0</v>
      </c>
      <c r="F31">
        <v>100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2</v>
      </c>
      <c r="R31">
        <v>0</v>
      </c>
      <c r="S31">
        <v>0</v>
      </c>
      <c r="T31">
        <v>0</v>
      </c>
    </row>
    <row r="32" spans="1:20">
      <c r="A32" t="s">
        <v>231</v>
      </c>
      <c r="B32">
        <v>16</v>
      </c>
      <c r="C32">
        <v>0</v>
      </c>
      <c r="D32">
        <v>16</v>
      </c>
      <c r="E32">
        <v>0</v>
      </c>
      <c r="F32">
        <v>100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3</v>
      </c>
      <c r="P32">
        <v>0</v>
      </c>
      <c r="Q32">
        <v>28</v>
      </c>
      <c r="R32">
        <v>0</v>
      </c>
      <c r="S32">
        <v>0</v>
      </c>
      <c r="T32">
        <v>0</v>
      </c>
    </row>
    <row r="33" spans="1:20">
      <c r="A33" t="s">
        <v>232</v>
      </c>
      <c r="B33">
        <v>6</v>
      </c>
      <c r="C33">
        <v>0</v>
      </c>
      <c r="D33">
        <v>6</v>
      </c>
      <c r="E33">
        <v>0</v>
      </c>
      <c r="F33">
        <v>100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4</v>
      </c>
      <c r="R33">
        <v>0</v>
      </c>
      <c r="S33">
        <v>0</v>
      </c>
      <c r="T33">
        <v>0</v>
      </c>
    </row>
    <row r="34" spans="1:20">
      <c r="A34" t="s">
        <v>233</v>
      </c>
      <c r="B34">
        <v>15</v>
      </c>
      <c r="C34">
        <v>2</v>
      </c>
      <c r="D34">
        <v>13</v>
      </c>
      <c r="E34">
        <v>13.33333333333333</v>
      </c>
      <c r="F34">
        <v>86.66666666666667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</v>
      </c>
      <c r="N34">
        <v>0</v>
      </c>
      <c r="O34">
        <v>1</v>
      </c>
      <c r="P34">
        <v>0</v>
      </c>
      <c r="Q34">
        <v>12</v>
      </c>
      <c r="R34">
        <v>0</v>
      </c>
      <c r="S34">
        <v>0</v>
      </c>
      <c r="T34">
        <v>0</v>
      </c>
    </row>
    <row r="35" spans="1:20">
      <c r="A35" t="s">
        <v>234</v>
      </c>
      <c r="B35">
        <v>7</v>
      </c>
      <c r="C35">
        <v>0</v>
      </c>
      <c r="D35">
        <v>7</v>
      </c>
      <c r="E35">
        <v>0</v>
      </c>
      <c r="F35">
        <v>100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2</v>
      </c>
      <c r="R35">
        <v>0</v>
      </c>
      <c r="S35">
        <v>0</v>
      </c>
      <c r="T35">
        <v>0</v>
      </c>
    </row>
    <row r="36" spans="1:20">
      <c r="A36" t="s">
        <v>235</v>
      </c>
      <c r="B36">
        <v>12</v>
      </c>
      <c r="C36">
        <v>1</v>
      </c>
      <c r="D36">
        <v>11</v>
      </c>
      <c r="E36">
        <v>8.333333333333332</v>
      </c>
      <c r="F36">
        <v>91.66666666666667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2</v>
      </c>
      <c r="R36">
        <v>0</v>
      </c>
      <c r="S36">
        <v>0</v>
      </c>
      <c r="T36">
        <v>0</v>
      </c>
    </row>
    <row r="37" spans="1:20">
      <c r="A37" t="s">
        <v>236</v>
      </c>
      <c r="B37">
        <v>11</v>
      </c>
      <c r="C37">
        <v>0</v>
      </c>
      <c r="D37">
        <v>11</v>
      </c>
      <c r="E37">
        <v>0</v>
      </c>
      <c r="F37">
        <v>100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9</v>
      </c>
      <c r="R37">
        <v>0</v>
      </c>
      <c r="S37">
        <v>0</v>
      </c>
      <c r="T37">
        <v>0</v>
      </c>
    </row>
    <row r="38" spans="1:20">
      <c r="A38" t="s">
        <v>237</v>
      </c>
      <c r="B38">
        <v>13</v>
      </c>
      <c r="C38">
        <v>2</v>
      </c>
      <c r="D38">
        <v>11</v>
      </c>
      <c r="E38">
        <v>15.38461538461539</v>
      </c>
      <c r="F38">
        <v>84.61538461538461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2</v>
      </c>
      <c r="P38">
        <v>0</v>
      </c>
      <c r="Q38">
        <v>5</v>
      </c>
      <c r="R38">
        <v>0</v>
      </c>
      <c r="S38">
        <v>0</v>
      </c>
      <c r="T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All Results</vt:lpstr>
      <vt:lpstr>OVERALL SUMMARY</vt:lpstr>
      <vt:lpstr>CE</vt:lpstr>
      <vt:lpstr>CS</vt:lpstr>
      <vt:lpstr>EC</vt:lpstr>
      <vt:lpstr>EE</vt:lpstr>
      <vt:lpstr>ME</vt:lpstr>
      <vt:lpstr>_STUDENTS_</vt:lpstr>
      <vt:lpstr>_DATA_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2026-04-30T14:21:29Z</dcterms:created>
  <dcterms:modified xsi:type="dcterms:W3CDTF">2026-04-30T14:21:29Z</dcterms:modified>
</cp:coreProperties>
</file>