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<sst xmlns="http://schemas.openxmlformats.org/spreadsheetml/2006/main" count="20846" uniqueCount="541">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</sst>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7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8">
        <v>70</v>
      </c>
      <c r="C7" s="9">
        <v>127</v>
      </c>
      <c r="D7" s="10">
        <v>35.53299492385787</v>
      </c>
      <c r="E7" s="10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8">
        <v>0</v>
      </c>
      <c r="D13" s="9">
        <v>2</v>
      </c>
      <c r="E13" s="11">
        <v>0</v>
      </c>
      <c r="F13" s="11">
        <v>100</v>
      </c>
    </row>
    <row r="14" spans="1:7">
      <c r="A14" s="12" t="s">
        <v>364</v>
      </c>
      <c r="B14" s="12">
        <v>42</v>
      </c>
      <c r="C14" s="8">
        <v>16</v>
      </c>
      <c r="D14" s="9">
        <v>26</v>
      </c>
      <c r="E14" s="13">
        <v>38.09523809523809</v>
      </c>
      <c r="F14" s="13">
        <v>61.90476190476191</v>
      </c>
    </row>
    <row r="15" spans="1:7">
      <c r="A15" s="7" t="s">
        <v>277</v>
      </c>
      <c r="B15" s="7">
        <v>18</v>
      </c>
      <c r="C15" s="8">
        <v>7</v>
      </c>
      <c r="D15" s="9">
        <v>11</v>
      </c>
      <c r="E15" s="11">
        <v>38.88888888888889</v>
      </c>
      <c r="F15" s="11">
        <v>61.11111111111111</v>
      </c>
    </row>
    <row r="16" spans="1:7">
      <c r="A16" s="12" t="s">
        <v>10</v>
      </c>
      <c r="B16" s="12">
        <v>95</v>
      </c>
      <c r="C16" s="8">
        <v>34</v>
      </c>
      <c r="D16" s="9">
        <v>61</v>
      </c>
      <c r="E16" s="13">
        <v>35.78947368421053</v>
      </c>
      <c r="F16" s="13">
        <v>64.21052631578948</v>
      </c>
    </row>
    <row r="17" spans="1:8">
      <c r="A17" s="7" t="s">
        <v>201</v>
      </c>
      <c r="B17" s="7">
        <v>13</v>
      </c>
      <c r="C17" s="8">
        <v>4</v>
      </c>
      <c r="D17" s="9">
        <v>9</v>
      </c>
      <c r="E17" s="11">
        <v>30.76923076923077</v>
      </c>
      <c r="F17" s="11">
        <v>69.23076923076923</v>
      </c>
    </row>
    <row r="18" spans="1:8">
      <c r="A18" s="12" t="s">
        <v>236</v>
      </c>
      <c r="B18" s="12">
        <v>13</v>
      </c>
      <c r="C18" s="8">
        <v>6</v>
      </c>
      <c r="D18" s="9">
        <v>7</v>
      </c>
      <c r="E18" s="13">
        <v>46.15384615384615</v>
      </c>
      <c r="F18" s="13">
        <v>53.84615384615385</v>
      </c>
    </row>
    <row r="19" spans="1:8">
      <c r="A19" s="7" t="s">
        <v>323</v>
      </c>
      <c r="B19" s="7">
        <v>14</v>
      </c>
      <c r="C19" s="8">
        <v>3</v>
      </c>
      <c r="D19" s="9">
        <v>11</v>
      </c>
      <c r="E19" s="11">
        <v>21.42857142857143</v>
      </c>
      <c r="F19" s="11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4" t="s">
        <v>501</v>
      </c>
      <c r="B23" s="14" t="s">
        <v>502</v>
      </c>
      <c r="C23" s="14" t="s">
        <v>503</v>
      </c>
      <c r="D23" s="14" t="s">
        <v>498</v>
      </c>
      <c r="E23" s="14" t="s">
        <v>499</v>
      </c>
      <c r="F23" s="14" t="s">
        <v>504</v>
      </c>
      <c r="G23" s="14" t="s">
        <v>505</v>
      </c>
      <c r="H23" s="14" t="s">
        <v>506</v>
      </c>
    </row>
    <row r="24" spans="1:8">
      <c r="A24" s="7">
        <v>1</v>
      </c>
      <c r="B24" s="7" t="s">
        <v>96</v>
      </c>
      <c r="C24" s="7" t="s">
        <v>10</v>
      </c>
      <c r="D24" s="10">
        <v>100</v>
      </c>
      <c r="E24" s="10">
        <v>0</v>
      </c>
      <c r="F24" s="7">
        <v>95</v>
      </c>
      <c r="G24" s="8">
        <v>95</v>
      </c>
      <c r="H24" s="9">
        <v>0</v>
      </c>
    </row>
    <row r="25" spans="1:8">
      <c r="A25" s="12">
        <v>2</v>
      </c>
      <c r="B25" s="12" t="s">
        <v>349</v>
      </c>
      <c r="C25" s="12" t="s">
        <v>323</v>
      </c>
      <c r="D25" s="15">
        <v>100</v>
      </c>
      <c r="E25" s="15">
        <v>0</v>
      </c>
      <c r="F25" s="12">
        <v>14</v>
      </c>
      <c r="G25" s="8">
        <v>14</v>
      </c>
      <c r="H25" s="9">
        <v>0</v>
      </c>
    </row>
    <row r="26" spans="1:8">
      <c r="A26" s="7">
        <v>3</v>
      </c>
      <c r="B26" s="7" t="s">
        <v>348</v>
      </c>
      <c r="C26" s="7" t="s">
        <v>323</v>
      </c>
      <c r="D26" s="10">
        <v>100</v>
      </c>
      <c r="E26" s="10">
        <v>0</v>
      </c>
      <c r="F26" s="7">
        <v>14</v>
      </c>
      <c r="G26" s="8">
        <v>14</v>
      </c>
      <c r="H26" s="9">
        <v>0</v>
      </c>
    </row>
    <row r="27" spans="1:8">
      <c r="A27" s="12">
        <v>4</v>
      </c>
      <c r="B27" s="12" t="s">
        <v>94</v>
      </c>
      <c r="C27" s="12" t="s">
        <v>10</v>
      </c>
      <c r="D27" s="15">
        <v>98.94736842105263</v>
      </c>
      <c r="E27" s="15">
        <v>1.05263157894737</v>
      </c>
      <c r="F27" s="12">
        <v>95</v>
      </c>
      <c r="G27" s="8">
        <v>94</v>
      </c>
      <c r="H27" s="9">
        <v>1</v>
      </c>
    </row>
    <row r="28" spans="1:8">
      <c r="A28" s="7">
        <v>5</v>
      </c>
      <c r="B28" s="7" t="s">
        <v>368</v>
      </c>
      <c r="C28" s="7" t="s">
        <v>364</v>
      </c>
      <c r="D28" s="10">
        <v>97.61904761904762</v>
      </c>
      <c r="E28" s="10">
        <v>2.38095238095238</v>
      </c>
      <c r="F28" s="7">
        <v>42</v>
      </c>
      <c r="G28" s="8">
        <v>41</v>
      </c>
      <c r="H28" s="9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4" t="s">
        <v>501</v>
      </c>
      <c r="B32" s="14" t="s">
        <v>502</v>
      </c>
      <c r="C32" s="14" t="s">
        <v>503</v>
      </c>
      <c r="D32" s="14" t="s">
        <v>498</v>
      </c>
      <c r="E32" s="14" t="s">
        <v>499</v>
      </c>
      <c r="F32" s="14" t="s">
        <v>504</v>
      </c>
      <c r="G32" s="14" t="s">
        <v>505</v>
      </c>
      <c r="H32" s="14" t="s">
        <v>506</v>
      </c>
    </row>
    <row r="33" spans="1:8">
      <c r="A33" s="7">
        <v>1</v>
      </c>
      <c r="B33" s="7" t="s">
        <v>328</v>
      </c>
      <c r="C33" s="7" t="s">
        <v>323</v>
      </c>
      <c r="D33" s="10">
        <v>28.57142857142857</v>
      </c>
      <c r="E33" s="10">
        <v>71.42857142857143</v>
      </c>
      <c r="F33" s="7">
        <v>14</v>
      </c>
      <c r="G33" s="8">
        <v>4</v>
      </c>
      <c r="H33" s="9">
        <v>10</v>
      </c>
    </row>
    <row r="34" spans="1:8">
      <c r="A34" s="12">
        <v>2</v>
      </c>
      <c r="B34" s="12" t="s">
        <v>325</v>
      </c>
      <c r="C34" s="12" t="s">
        <v>323</v>
      </c>
      <c r="D34" s="15">
        <v>28.57142857142857</v>
      </c>
      <c r="E34" s="15">
        <v>71.42857142857143</v>
      </c>
      <c r="F34" s="12">
        <v>14</v>
      </c>
      <c r="G34" s="8">
        <v>4</v>
      </c>
      <c r="H34" s="9">
        <v>10</v>
      </c>
    </row>
    <row r="35" spans="1:8">
      <c r="A35" s="7">
        <v>3</v>
      </c>
      <c r="B35" s="7" t="s">
        <v>211</v>
      </c>
      <c r="C35" s="7" t="s">
        <v>201</v>
      </c>
      <c r="D35" s="10">
        <v>30.76923076923077</v>
      </c>
      <c r="E35" s="10">
        <v>69.23076923076923</v>
      </c>
      <c r="F35" s="7">
        <v>13</v>
      </c>
      <c r="G35" s="8">
        <v>4</v>
      </c>
      <c r="H35" s="9">
        <v>9</v>
      </c>
    </row>
    <row r="36" spans="1:8">
      <c r="A36" s="12">
        <v>4</v>
      </c>
      <c r="B36" s="12" t="s">
        <v>204</v>
      </c>
      <c r="C36" s="12" t="s">
        <v>201</v>
      </c>
      <c r="D36" s="15">
        <v>30.76923076923077</v>
      </c>
      <c r="E36" s="15">
        <v>69.23076923076923</v>
      </c>
      <c r="F36" s="12">
        <v>13</v>
      </c>
      <c r="G36" s="8">
        <v>4</v>
      </c>
      <c r="H36" s="9">
        <v>9</v>
      </c>
    </row>
    <row r="37" spans="1:8">
      <c r="A37" s="7">
        <v>5</v>
      </c>
      <c r="B37" s="7" t="s">
        <v>21</v>
      </c>
      <c r="C37" s="7" t="s">
        <v>10</v>
      </c>
      <c r="D37" s="10">
        <v>36.84210526315789</v>
      </c>
      <c r="E37" s="10">
        <v>63.15789473684211</v>
      </c>
      <c r="F37" s="7">
        <v>95</v>
      </c>
      <c r="G37" s="8">
        <v>35</v>
      </c>
      <c r="H37" s="9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conditionalFormatting sqref="D21:D43">
    <cfRule type="cellIs" dxfId="0" priority="3" operator="lessThan">
      <formula>40</formula>
    </cfRule>
  </conditionalFormatting>
  <conditionalFormatting sqref="E13:E19">
    <cfRule type="cellIs" dxfId="0" priority="2" operator="lessThan">
      <formula>40</formula>
    </cfRule>
  </conditionalFormatting>
  <conditionalFormatting sqref="E7">
    <cfRule type="cellIs" dxfId="0" priority="1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509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IFERROR(VLOOKUP("AE_" &amp; UPPER($B$8), _DATA_!$A$2:$AZ$62, 2, FALSE), 0)</f>
        <v>0</v>
      </c>
      <c r="B13" s="21"/>
      <c r="C13" s="21"/>
      <c r="D13" s="21"/>
      <c r="E13" s="22">
        <f>IFERROR(VLOOKUP("AE_" &amp; UPPER($B$8), _DATA_!$A$2:$AZ$62, 3, FALSE), 0)</f>
        <v>0</v>
      </c>
      <c r="F13" s="22"/>
      <c r="G13" s="22"/>
      <c r="H13" s="22"/>
      <c r="I13" s="23">
        <f>IFERROR(VLOOKUP("AE_" &amp; UPPER($B$8), _DATA_!$A$2:$AZ$62, 4, FALSE), 0)</f>
        <v>0</v>
      </c>
      <c r="J13" s="23"/>
      <c r="K13" s="23"/>
      <c r="L13" s="24">
        <f>IFERROR(VLOOKUP("AE_" &amp; UPPER($B$8), _DATA_!$A$2:$AZ$62, 5, FALSE), 0)</f>
        <v>0</v>
      </c>
      <c r="M13" s="24"/>
      <c r="N13" s="24"/>
      <c r="O13" s="24">
        <f>IFERROR(VLOOKUP("AE_"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25">
        <v>0</v>
      </c>
    </row>
    <row r="37" spans="1:19">
      <c r="A37" s="12" t="s">
        <v>197</v>
      </c>
      <c r="B37" s="12" t="s">
        <v>13</v>
      </c>
      <c r="C37" s="12" t="s">
        <v>425</v>
      </c>
      <c r="D37" s="12">
        <v>1</v>
      </c>
      <c r="E37" s="26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7">
        <v>0</v>
      </c>
      <c r="F44" s="27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8">
        <v>0</v>
      </c>
      <c r="D50" s="28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2" t="s">
        <v>195</v>
      </c>
      <c r="B51" s="12" t="s">
        <v>196</v>
      </c>
      <c r="C51" s="29">
        <v>0</v>
      </c>
      <c r="D51" s="29">
        <v>100</v>
      </c>
      <c r="E51" s="12">
        <v>0</v>
      </c>
      <c r="F51" s="12">
        <v>1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50:C51">
    <cfRule type="cellIs" dxfId="6" priority="12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4">
    <cfRule type="cellIs" dxfId="6" priority="11" operator="lessThan">
      <formula>40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IFERROR(VLOOKUP("AI_" &amp; UPPER($B$8), _DATA_!$A$2:$AZ$62, 2, FALSE), 0)</f>
        <v>0</v>
      </c>
      <c r="B13" s="21"/>
      <c r="C13" s="21"/>
      <c r="D13" s="21"/>
      <c r="E13" s="22">
        <f>IFERROR(VLOOKUP("AI_" &amp; UPPER($B$8), _DATA_!$A$2:$AZ$62, 3, FALSE), 0)</f>
        <v>0</v>
      </c>
      <c r="F13" s="22"/>
      <c r="G13" s="22"/>
      <c r="H13" s="22"/>
      <c r="I13" s="23">
        <f>IFERROR(VLOOKUP("AI_" &amp; UPPER($B$8), _DATA_!$A$2:$AZ$62, 4, FALSE), 0)</f>
        <v>0</v>
      </c>
      <c r="J13" s="23"/>
      <c r="K13" s="23"/>
      <c r="L13" s="24">
        <f>IFERROR(VLOOKUP("AI_" &amp; UPPER($B$8), _DATA_!$A$2:$AZ$62, 5, FALSE), 0)</f>
        <v>0</v>
      </c>
      <c r="M13" s="24"/>
      <c r="N13" s="24"/>
      <c r="O13" s="24">
        <f>IFERROR(VLOOKUP("AI_"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5">
        <v>8.43</v>
      </c>
    </row>
    <row r="37" spans="1:11">
      <c r="A37" s="12" t="s">
        <v>370</v>
      </c>
      <c r="B37" s="12" t="s">
        <v>39</v>
      </c>
      <c r="C37" s="12" t="s">
        <v>73</v>
      </c>
      <c r="D37" s="12" t="s">
        <v>13</v>
      </c>
      <c r="E37" s="12" t="s">
        <v>95</v>
      </c>
      <c r="F37" s="12" t="s">
        <v>46</v>
      </c>
      <c r="G37" s="12" t="s">
        <v>13</v>
      </c>
      <c r="H37" s="12" t="s">
        <v>13</v>
      </c>
      <c r="I37" s="12" t="s">
        <v>39</v>
      </c>
      <c r="J37" s="12">
        <v>3</v>
      </c>
      <c r="K37" s="26">
        <v>4</v>
      </c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5">
        <v>8.289999999999999</v>
      </c>
    </row>
    <row r="39" spans="1:11">
      <c r="A39" s="12" t="s">
        <v>372</v>
      </c>
      <c r="B39" s="12" t="s">
        <v>95</v>
      </c>
      <c r="C39" s="12" t="s">
        <v>92</v>
      </c>
      <c r="D39" s="12" t="s">
        <v>95</v>
      </c>
      <c r="E39" s="12" t="s">
        <v>95</v>
      </c>
      <c r="F39" s="12" t="s">
        <v>92</v>
      </c>
      <c r="G39" s="12" t="s">
        <v>92</v>
      </c>
      <c r="H39" s="12" t="s">
        <v>92</v>
      </c>
      <c r="I39" s="12" t="s">
        <v>92</v>
      </c>
      <c r="J39" s="12">
        <v>0</v>
      </c>
      <c r="K39" s="26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25">
        <v>3.07</v>
      </c>
    </row>
    <row r="41" spans="1:11">
      <c r="A41" s="12" t="s">
        <v>374</v>
      </c>
      <c r="B41" s="12" t="s">
        <v>102</v>
      </c>
      <c r="C41" s="12" t="s">
        <v>73</v>
      </c>
      <c r="D41" s="12" t="s">
        <v>46</v>
      </c>
      <c r="E41" s="12" t="s">
        <v>95</v>
      </c>
      <c r="F41" s="12" t="s">
        <v>46</v>
      </c>
      <c r="G41" s="12" t="s">
        <v>13</v>
      </c>
      <c r="H41" s="12" t="s">
        <v>13</v>
      </c>
      <c r="I41" s="12" t="s">
        <v>39</v>
      </c>
      <c r="J41" s="12">
        <v>2</v>
      </c>
      <c r="K41" s="26">
        <v>5.07</v>
      </c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25">
        <v>3.93</v>
      </c>
    </row>
    <row r="43" spans="1:11">
      <c r="A43" s="12" t="s">
        <v>376</v>
      </c>
      <c r="B43" s="12" t="s">
        <v>102</v>
      </c>
      <c r="C43" s="12" t="s">
        <v>64</v>
      </c>
      <c r="D43" s="12" t="s">
        <v>64</v>
      </c>
      <c r="E43" s="12" t="s">
        <v>95</v>
      </c>
      <c r="F43" s="12" t="s">
        <v>53</v>
      </c>
      <c r="G43" s="12" t="s">
        <v>46</v>
      </c>
      <c r="H43" s="12" t="s">
        <v>53</v>
      </c>
      <c r="I43" s="12" t="s">
        <v>64</v>
      </c>
      <c r="J43" s="12">
        <v>0</v>
      </c>
      <c r="K43" s="26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25">
        <v>6.57</v>
      </c>
    </row>
    <row r="45" spans="1:11">
      <c r="A45" s="12" t="s">
        <v>378</v>
      </c>
      <c r="B45" s="12" t="s">
        <v>64</v>
      </c>
      <c r="C45" s="12" t="s">
        <v>73</v>
      </c>
      <c r="D45" s="12" t="s">
        <v>46</v>
      </c>
      <c r="E45" s="12" t="s">
        <v>93</v>
      </c>
      <c r="F45" s="12" t="s">
        <v>13</v>
      </c>
      <c r="G45" s="12" t="s">
        <v>13</v>
      </c>
      <c r="H45" s="12" t="s">
        <v>13</v>
      </c>
      <c r="I45" s="12" t="s">
        <v>39</v>
      </c>
      <c r="J45" s="12">
        <v>3</v>
      </c>
      <c r="K45" s="26">
        <v>4.07</v>
      </c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5">
        <v>7.79</v>
      </c>
    </row>
    <row r="47" spans="1:11">
      <c r="A47" s="12" t="s">
        <v>380</v>
      </c>
      <c r="B47" s="12" t="s">
        <v>39</v>
      </c>
      <c r="C47" s="12" t="s">
        <v>46</v>
      </c>
      <c r="D47" s="12" t="s">
        <v>46</v>
      </c>
      <c r="E47" s="12" t="s">
        <v>95</v>
      </c>
      <c r="F47" s="12" t="s">
        <v>13</v>
      </c>
      <c r="G47" s="12" t="s">
        <v>13</v>
      </c>
      <c r="H47" s="12" t="s">
        <v>13</v>
      </c>
      <c r="I47" s="12" t="s">
        <v>46</v>
      </c>
      <c r="J47" s="12">
        <v>3</v>
      </c>
      <c r="K47" s="26">
        <v>3.86</v>
      </c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5">
        <v>7.21</v>
      </c>
    </row>
    <row r="49" spans="1:11">
      <c r="A49" s="12" t="s">
        <v>382</v>
      </c>
      <c r="B49" s="12" t="s">
        <v>39</v>
      </c>
      <c r="C49" s="12" t="s">
        <v>39</v>
      </c>
      <c r="D49" s="12" t="s">
        <v>13</v>
      </c>
      <c r="E49" s="12" t="s">
        <v>93</v>
      </c>
      <c r="F49" s="12" t="s">
        <v>13</v>
      </c>
      <c r="G49" s="12" t="s">
        <v>13</v>
      </c>
      <c r="H49" s="12" t="s">
        <v>13</v>
      </c>
      <c r="I49" s="12" t="s">
        <v>39</v>
      </c>
      <c r="J49" s="12">
        <v>4</v>
      </c>
      <c r="K49" s="26">
        <v>3</v>
      </c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5">
        <v>6.43</v>
      </c>
    </row>
    <row r="51" spans="1:11">
      <c r="A51" s="12" t="s">
        <v>384</v>
      </c>
      <c r="B51" s="12" t="s">
        <v>95</v>
      </c>
      <c r="C51" s="12" t="s">
        <v>102</v>
      </c>
      <c r="D51" s="12" t="s">
        <v>95</v>
      </c>
      <c r="E51" s="12" t="s">
        <v>95</v>
      </c>
      <c r="F51" s="12" t="s">
        <v>102</v>
      </c>
      <c r="G51" s="12" t="s">
        <v>102</v>
      </c>
      <c r="H51" s="12" t="s">
        <v>93</v>
      </c>
      <c r="I51" s="12" t="s">
        <v>93</v>
      </c>
      <c r="J51" s="12">
        <v>0</v>
      </c>
      <c r="K51" s="26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25">
        <v>5.86</v>
      </c>
    </row>
    <row r="53" spans="1:11">
      <c r="A53" s="12" t="s">
        <v>386</v>
      </c>
      <c r="B53" s="12" t="s">
        <v>64</v>
      </c>
      <c r="C53" s="12" t="s">
        <v>46</v>
      </c>
      <c r="D53" s="12" t="s">
        <v>46</v>
      </c>
      <c r="E53" s="12" t="s">
        <v>93</v>
      </c>
      <c r="F53" s="12" t="s">
        <v>13</v>
      </c>
      <c r="G53" s="12" t="s">
        <v>13</v>
      </c>
      <c r="H53" s="12" t="s">
        <v>46</v>
      </c>
      <c r="I53" s="12" t="s">
        <v>39</v>
      </c>
      <c r="J53" s="12">
        <v>2</v>
      </c>
      <c r="K53" s="26">
        <v>4.71</v>
      </c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25">
        <v>5.64</v>
      </c>
    </row>
    <row r="55" spans="1:11">
      <c r="A55" s="12" t="s">
        <v>388</v>
      </c>
      <c r="B55" s="12" t="s">
        <v>92</v>
      </c>
      <c r="C55" s="12" t="s">
        <v>46</v>
      </c>
      <c r="D55" s="12" t="s">
        <v>13</v>
      </c>
      <c r="E55" s="12" t="s">
        <v>95</v>
      </c>
      <c r="F55" s="12" t="s">
        <v>13</v>
      </c>
      <c r="G55" s="12" t="s">
        <v>13</v>
      </c>
      <c r="H55" s="12" t="s">
        <v>13</v>
      </c>
      <c r="I55" s="12" t="s">
        <v>53</v>
      </c>
      <c r="J55" s="12">
        <v>4</v>
      </c>
      <c r="K55" s="26">
        <v>3.43</v>
      </c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5">
        <v>7.14</v>
      </c>
    </row>
    <row r="57" spans="1:11">
      <c r="A57" s="12" t="s">
        <v>390</v>
      </c>
      <c r="B57" s="12" t="s">
        <v>95</v>
      </c>
      <c r="C57" s="12" t="s">
        <v>64</v>
      </c>
      <c r="D57" s="12" t="s">
        <v>102</v>
      </c>
      <c r="E57" s="12" t="s">
        <v>95</v>
      </c>
      <c r="F57" s="12" t="s">
        <v>73</v>
      </c>
      <c r="G57" s="12" t="s">
        <v>64</v>
      </c>
      <c r="H57" s="12" t="s">
        <v>64</v>
      </c>
      <c r="I57" s="12" t="s">
        <v>53</v>
      </c>
      <c r="J57" s="12">
        <v>0</v>
      </c>
      <c r="K57" s="26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25">
        <v>2.93</v>
      </c>
    </row>
    <row r="59" spans="1:11">
      <c r="A59" s="12" t="s">
        <v>392</v>
      </c>
      <c r="B59" s="12" t="s">
        <v>102</v>
      </c>
      <c r="C59" s="12" t="s">
        <v>39</v>
      </c>
      <c r="D59" s="12" t="s">
        <v>39</v>
      </c>
      <c r="E59" s="12" t="s">
        <v>93</v>
      </c>
      <c r="F59" s="12" t="s">
        <v>13</v>
      </c>
      <c r="G59" s="12" t="s">
        <v>13</v>
      </c>
      <c r="H59" s="12" t="s">
        <v>46</v>
      </c>
      <c r="I59" s="12" t="s">
        <v>46</v>
      </c>
      <c r="J59" s="12">
        <v>2</v>
      </c>
      <c r="K59" s="26">
        <v>4.93</v>
      </c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25">
        <v>5.21</v>
      </c>
    </row>
    <row r="61" spans="1:11">
      <c r="A61" s="12" t="s">
        <v>394</v>
      </c>
      <c r="B61" s="12" t="s">
        <v>102</v>
      </c>
      <c r="C61" s="12" t="s">
        <v>46</v>
      </c>
      <c r="D61" s="12" t="s">
        <v>13</v>
      </c>
      <c r="E61" s="12" t="s">
        <v>95</v>
      </c>
      <c r="F61" s="12" t="s">
        <v>13</v>
      </c>
      <c r="G61" s="12" t="s">
        <v>13</v>
      </c>
      <c r="H61" s="12" t="s">
        <v>13</v>
      </c>
      <c r="I61" s="12" t="s">
        <v>73</v>
      </c>
      <c r="J61" s="12">
        <v>4</v>
      </c>
      <c r="K61" s="26">
        <v>3.36</v>
      </c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25">
        <v>2.43</v>
      </c>
    </row>
    <row r="63" spans="1:11">
      <c r="A63" s="12" t="s">
        <v>396</v>
      </c>
      <c r="B63" s="12" t="s">
        <v>93</v>
      </c>
      <c r="C63" s="12" t="s">
        <v>46</v>
      </c>
      <c r="D63" s="12" t="s">
        <v>46</v>
      </c>
      <c r="E63" s="12" t="s">
        <v>93</v>
      </c>
      <c r="F63" s="12" t="s">
        <v>13</v>
      </c>
      <c r="G63" s="12" t="s">
        <v>13</v>
      </c>
      <c r="H63" s="12" t="s">
        <v>13</v>
      </c>
      <c r="I63" s="12" t="s">
        <v>73</v>
      </c>
      <c r="J63" s="12">
        <v>3</v>
      </c>
      <c r="K63" s="26">
        <v>4.14</v>
      </c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5">
        <v>8.789999999999999</v>
      </c>
    </row>
    <row r="65" spans="1:11">
      <c r="A65" s="12" t="s">
        <v>398</v>
      </c>
      <c r="B65" s="12" t="s">
        <v>95</v>
      </c>
      <c r="C65" s="12" t="s">
        <v>64</v>
      </c>
      <c r="D65" s="12" t="s">
        <v>46</v>
      </c>
      <c r="E65" s="12" t="s">
        <v>95</v>
      </c>
      <c r="F65" s="12" t="s">
        <v>53</v>
      </c>
      <c r="G65" s="12" t="s">
        <v>46</v>
      </c>
      <c r="H65" s="12" t="s">
        <v>64</v>
      </c>
      <c r="I65" s="12" t="s">
        <v>92</v>
      </c>
      <c r="J65" s="12">
        <v>0</v>
      </c>
      <c r="K65" s="26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5">
        <v>8.359999999999999</v>
      </c>
    </row>
    <row r="67" spans="1:11">
      <c r="A67" s="12" t="s">
        <v>400</v>
      </c>
      <c r="B67" s="12" t="s">
        <v>73</v>
      </c>
      <c r="C67" s="12" t="s">
        <v>13</v>
      </c>
      <c r="D67" s="12" t="s">
        <v>46</v>
      </c>
      <c r="E67" s="12" t="s">
        <v>93</v>
      </c>
      <c r="F67" s="12" t="s">
        <v>13</v>
      </c>
      <c r="G67" s="12" t="s">
        <v>13</v>
      </c>
      <c r="H67" s="12" t="s">
        <v>13</v>
      </c>
      <c r="I67" s="12" t="s">
        <v>46</v>
      </c>
      <c r="J67" s="12">
        <v>4</v>
      </c>
      <c r="K67" s="26">
        <v>3</v>
      </c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25">
        <v>4.64</v>
      </c>
    </row>
    <row r="69" spans="1:11">
      <c r="A69" s="12" t="s">
        <v>402</v>
      </c>
      <c r="B69" s="12" t="s">
        <v>92</v>
      </c>
      <c r="C69" s="12" t="s">
        <v>39</v>
      </c>
      <c r="D69" s="12" t="s">
        <v>53</v>
      </c>
      <c r="E69" s="12" t="s">
        <v>95</v>
      </c>
      <c r="F69" s="12" t="s">
        <v>13</v>
      </c>
      <c r="G69" s="12" t="s">
        <v>13</v>
      </c>
      <c r="H69" s="12" t="s">
        <v>13</v>
      </c>
      <c r="I69" s="12" t="s">
        <v>53</v>
      </c>
      <c r="J69" s="12">
        <v>3</v>
      </c>
      <c r="K69" s="26">
        <v>4.5</v>
      </c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25">
        <v>2.71</v>
      </c>
    </row>
    <row r="71" spans="1:11">
      <c r="A71" s="12" t="s">
        <v>404</v>
      </c>
      <c r="B71" s="12" t="s">
        <v>92</v>
      </c>
      <c r="C71" s="12" t="s">
        <v>53</v>
      </c>
      <c r="D71" s="12" t="s">
        <v>73</v>
      </c>
      <c r="E71" s="12" t="s">
        <v>95</v>
      </c>
      <c r="F71" s="12" t="s">
        <v>73</v>
      </c>
      <c r="G71" s="12" t="s">
        <v>13</v>
      </c>
      <c r="H71" s="12" t="s">
        <v>13</v>
      </c>
      <c r="I71" s="12" t="s">
        <v>53</v>
      </c>
      <c r="J71" s="12">
        <v>2</v>
      </c>
      <c r="K71" s="26">
        <v>5.5</v>
      </c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25">
        <v>5.21</v>
      </c>
    </row>
    <row r="73" spans="1:11">
      <c r="A73" s="12" t="s">
        <v>406</v>
      </c>
      <c r="B73" s="12" t="s">
        <v>93</v>
      </c>
      <c r="C73" s="12" t="s">
        <v>46</v>
      </c>
      <c r="D73" s="12" t="s">
        <v>39</v>
      </c>
      <c r="E73" s="12" t="s">
        <v>95</v>
      </c>
      <c r="F73" s="12" t="s">
        <v>73</v>
      </c>
      <c r="G73" s="12" t="s">
        <v>46</v>
      </c>
      <c r="H73" s="12" t="s">
        <v>39</v>
      </c>
      <c r="I73" s="12" t="s">
        <v>64</v>
      </c>
      <c r="J73" s="12">
        <v>0</v>
      </c>
      <c r="K73" s="26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25">
        <v>0</v>
      </c>
    </row>
    <row r="75" spans="1:11">
      <c r="A75" s="12" t="s">
        <v>408</v>
      </c>
      <c r="B75" s="12" t="s">
        <v>102</v>
      </c>
      <c r="C75" s="12" t="s">
        <v>39</v>
      </c>
      <c r="D75" s="12" t="s">
        <v>73</v>
      </c>
      <c r="E75" s="12" t="s">
        <v>95</v>
      </c>
      <c r="F75" s="12" t="s">
        <v>13</v>
      </c>
      <c r="G75" s="12" t="s">
        <v>13</v>
      </c>
      <c r="H75" s="12" t="s">
        <v>46</v>
      </c>
      <c r="I75" s="12" t="s">
        <v>64</v>
      </c>
      <c r="J75" s="12">
        <v>2</v>
      </c>
      <c r="K75" s="26">
        <v>5.14</v>
      </c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5">
        <v>7.93</v>
      </c>
    </row>
    <row r="77" spans="1:11">
      <c r="A77" s="12" t="s">
        <v>410</v>
      </c>
      <c r="B77" s="12" t="s">
        <v>93</v>
      </c>
      <c r="C77" s="12" t="s">
        <v>39</v>
      </c>
      <c r="D77" s="12" t="s">
        <v>53</v>
      </c>
      <c r="E77" s="12" t="s">
        <v>95</v>
      </c>
      <c r="F77" s="12" t="s">
        <v>39</v>
      </c>
      <c r="G77" s="12" t="s">
        <v>46</v>
      </c>
      <c r="H77" s="12" t="s">
        <v>64</v>
      </c>
      <c r="I77" s="12" t="s">
        <v>102</v>
      </c>
      <c r="J77" s="12">
        <v>0</v>
      </c>
      <c r="K77" s="26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7">
        <v>38.09523809523809</v>
      </c>
      <c r="F84" s="27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8">
        <v>97.61904761904762</v>
      </c>
      <c r="D90" s="28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2" t="s">
        <v>369</v>
      </c>
      <c r="B91" s="12" t="s">
        <v>369</v>
      </c>
      <c r="C91" s="29">
        <v>90.47619047619048</v>
      </c>
      <c r="D91" s="29">
        <v>9.523809523809518</v>
      </c>
      <c r="E91" s="12">
        <v>38</v>
      </c>
      <c r="F91" s="12">
        <v>4</v>
      </c>
      <c r="G91" s="12">
        <v>0</v>
      </c>
      <c r="H91" s="12">
        <v>1</v>
      </c>
      <c r="I91" s="12">
        <v>2</v>
      </c>
      <c r="J91" s="12">
        <v>3</v>
      </c>
      <c r="K91" s="12">
        <v>8</v>
      </c>
      <c r="L91" s="12">
        <v>2</v>
      </c>
      <c r="M91" s="12">
        <v>8</v>
      </c>
      <c r="N91" s="12">
        <v>6</v>
      </c>
      <c r="O91" s="12">
        <v>8</v>
      </c>
      <c r="P91" s="12">
        <v>3</v>
      </c>
      <c r="Q91" s="12">
        <v>0</v>
      </c>
      <c r="R91" s="12">
        <v>0</v>
      </c>
      <c r="S91" s="12">
        <v>1</v>
      </c>
    </row>
    <row r="92" spans="1:19">
      <c r="A92" s="7" t="s">
        <v>366</v>
      </c>
      <c r="B92" s="7" t="s">
        <v>366</v>
      </c>
      <c r="C92" s="28">
        <v>78.57142857142857</v>
      </c>
      <c r="D92" s="28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2" t="s">
        <v>367</v>
      </c>
      <c r="B93" s="12" t="s">
        <v>367</v>
      </c>
      <c r="C93" s="29">
        <v>97.61904761904762</v>
      </c>
      <c r="D93" s="29">
        <v>2.38095238095238</v>
      </c>
      <c r="E93" s="12">
        <v>41</v>
      </c>
      <c r="F93" s="12">
        <v>1</v>
      </c>
      <c r="G93" s="12">
        <v>30</v>
      </c>
      <c r="H93" s="12">
        <v>10</v>
      </c>
      <c r="I93" s="12">
        <v>1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1</v>
      </c>
    </row>
    <row r="94" spans="1:19">
      <c r="A94" s="7" t="s">
        <v>365</v>
      </c>
      <c r="B94" s="7" t="s">
        <v>365</v>
      </c>
      <c r="C94" s="28">
        <v>54.76190476190477</v>
      </c>
      <c r="D94" s="28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2" t="s">
        <v>17</v>
      </c>
      <c r="B95" s="12" t="s">
        <v>18</v>
      </c>
      <c r="C95" s="29">
        <v>40.47619047619047</v>
      </c>
      <c r="D95" s="29">
        <v>59.52380952380953</v>
      </c>
      <c r="E95" s="12">
        <v>17</v>
      </c>
      <c r="F95" s="12">
        <v>25</v>
      </c>
      <c r="G95" s="12">
        <v>0</v>
      </c>
      <c r="H95" s="12">
        <v>0</v>
      </c>
      <c r="I95" s="12">
        <v>1</v>
      </c>
      <c r="J95" s="12">
        <v>1</v>
      </c>
      <c r="K95" s="12">
        <v>3</v>
      </c>
      <c r="L95" s="12">
        <v>0</v>
      </c>
      <c r="M95" s="12">
        <v>0</v>
      </c>
      <c r="N95" s="12">
        <v>2</v>
      </c>
      <c r="O95" s="12">
        <v>10</v>
      </c>
      <c r="P95" s="12">
        <v>24</v>
      </c>
      <c r="Q95" s="12">
        <v>0</v>
      </c>
      <c r="R95" s="12">
        <v>0</v>
      </c>
      <c r="S95" s="12">
        <v>1</v>
      </c>
    </row>
    <row r="96" spans="1:19">
      <c r="A96" s="7" t="s">
        <v>25</v>
      </c>
      <c r="B96" s="7" t="s">
        <v>26</v>
      </c>
      <c r="C96" s="28">
        <v>50</v>
      </c>
      <c r="D96" s="28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2" t="s">
        <v>28</v>
      </c>
      <c r="B97" s="12" t="s">
        <v>29</v>
      </c>
      <c r="C97" s="29">
        <v>95.23809523809523</v>
      </c>
      <c r="D97" s="29">
        <v>4.761904761904773</v>
      </c>
      <c r="E97" s="12">
        <v>40</v>
      </c>
      <c r="F97" s="12">
        <v>2</v>
      </c>
      <c r="G97" s="12">
        <v>0</v>
      </c>
      <c r="H97" s="12">
        <v>4</v>
      </c>
      <c r="I97" s="12">
        <v>4</v>
      </c>
      <c r="J97" s="12">
        <v>4</v>
      </c>
      <c r="K97" s="12">
        <v>4</v>
      </c>
      <c r="L97" s="12">
        <v>8</v>
      </c>
      <c r="M97" s="12">
        <v>4</v>
      </c>
      <c r="N97" s="12">
        <v>8</v>
      </c>
      <c r="O97" s="12">
        <v>4</v>
      </c>
      <c r="P97" s="12">
        <v>0</v>
      </c>
      <c r="Q97" s="12">
        <v>0</v>
      </c>
      <c r="R97" s="12">
        <v>1</v>
      </c>
      <c r="S97" s="12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A36:K7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90:C97">
    <cfRule type="cellIs" dxfId="6" priority="12" operator="lessThan">
      <formula>40</formula>
    </cfRule>
  </conditionalFormatting>
  <conditionalFormatting sqref="E84">
    <cfRule type="cellIs" dxfId="6" priority="11" operator="lessThan">
      <formula>40</formula>
    </cfRule>
  </conditionalFormatting>
  <conditionalFormatting sqref="K36:K7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528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529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IFERROR(VLOOKUP("CE_" &amp; UPPER($B$8), _DATA_!$A$2:$AZ$62, 2, FALSE), 0)</f>
        <v>0</v>
      </c>
      <c r="B13" s="21"/>
      <c r="C13" s="21"/>
      <c r="D13" s="21"/>
      <c r="E13" s="22">
        <f>IFERROR(VLOOKUP("CE_" &amp; UPPER($B$8), _DATA_!$A$2:$AZ$62, 3, FALSE), 0)</f>
        <v>0</v>
      </c>
      <c r="F13" s="22"/>
      <c r="G13" s="22"/>
      <c r="H13" s="22"/>
      <c r="I13" s="23">
        <f>IFERROR(VLOOKUP("CE_" &amp; UPPER($B$8), _DATA_!$A$2:$AZ$62, 4, FALSE), 0)</f>
        <v>0</v>
      </c>
      <c r="J13" s="23"/>
      <c r="K13" s="23"/>
      <c r="L13" s="24">
        <f>IFERROR(VLOOKUP("CE_" &amp; UPPER($B$8), _DATA_!$A$2:$AZ$62, 5, FALSE), 0)</f>
        <v>0</v>
      </c>
      <c r="M13" s="24"/>
      <c r="N13" s="24"/>
      <c r="O13" s="24">
        <f>IFERROR(VLOOKUP("CE_"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25">
        <v>0</v>
      </c>
    </row>
    <row r="37" spans="1:6">
      <c r="A37" s="12" t="s">
        <v>280</v>
      </c>
      <c r="B37" s="12" t="s">
        <v>13</v>
      </c>
      <c r="C37" s="12" t="s">
        <v>13</v>
      </c>
      <c r="D37" s="12">
        <v>2</v>
      </c>
      <c r="E37" s="26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25">
        <v>0</v>
      </c>
    </row>
    <row r="45" spans="1:6">
      <c r="A45" s="12" t="s">
        <v>283</v>
      </c>
      <c r="B45" s="12" t="s">
        <v>73</v>
      </c>
      <c r="C45" s="12" t="s">
        <v>13</v>
      </c>
      <c r="D45" s="12" t="s">
        <v>425</v>
      </c>
      <c r="E45" s="12">
        <v>1</v>
      </c>
      <c r="F45" s="26">
        <v>3.25</v>
      </c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25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25">
        <v>0</v>
      </c>
    </row>
    <row r="54" spans="1:9">
      <c r="A54" s="12" t="s">
        <v>288</v>
      </c>
      <c r="B54" s="12" t="s">
        <v>46</v>
      </c>
      <c r="C54" s="12" t="s">
        <v>16</v>
      </c>
      <c r="D54" s="12" t="s">
        <v>13</v>
      </c>
      <c r="E54" s="12" t="s">
        <v>13</v>
      </c>
      <c r="F54" s="12" t="s">
        <v>425</v>
      </c>
      <c r="G54" s="12" t="s">
        <v>425</v>
      </c>
      <c r="H54" s="12">
        <v>3</v>
      </c>
      <c r="I54" s="26">
        <v>1.38</v>
      </c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25">
        <v>1.3</v>
      </c>
    </row>
    <row r="56" spans="1:9">
      <c r="A56" s="12" t="s">
        <v>292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16</v>
      </c>
      <c r="G56" s="12" t="s">
        <v>425</v>
      </c>
      <c r="H56" s="12">
        <v>1</v>
      </c>
      <c r="I56" s="26">
        <v>0</v>
      </c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25">
        <v>0</v>
      </c>
    </row>
    <row r="58" spans="1:9">
      <c r="A58" s="12" t="s">
        <v>294</v>
      </c>
      <c r="B58" s="12" t="s">
        <v>425</v>
      </c>
      <c r="C58" s="12" t="s">
        <v>13</v>
      </c>
      <c r="D58" s="12" t="s">
        <v>13</v>
      </c>
      <c r="E58" s="12" t="s">
        <v>16</v>
      </c>
      <c r="F58" s="12" t="s">
        <v>425</v>
      </c>
      <c r="G58" s="12" t="s">
        <v>425</v>
      </c>
      <c r="H58" s="12">
        <v>3</v>
      </c>
      <c r="I58" s="26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25">
        <v>2.57</v>
      </c>
    </row>
    <row r="66" spans="1:11">
      <c r="A66" s="12" t="s">
        <v>296</v>
      </c>
      <c r="B66" s="12" t="s">
        <v>13</v>
      </c>
      <c r="C66" s="12" t="s">
        <v>425</v>
      </c>
      <c r="D66" s="12" t="s">
        <v>425</v>
      </c>
      <c r="E66" s="12" t="s">
        <v>425</v>
      </c>
      <c r="F66" s="12">
        <v>1</v>
      </c>
      <c r="G66" s="26">
        <v>0</v>
      </c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25">
        <v>2.36</v>
      </c>
    </row>
    <row r="68" spans="1:11">
      <c r="A68" s="12" t="s">
        <v>298</v>
      </c>
      <c r="B68" s="12" t="s">
        <v>425</v>
      </c>
      <c r="C68" s="12" t="s">
        <v>425</v>
      </c>
      <c r="D68" s="12" t="s">
        <v>13</v>
      </c>
      <c r="E68" s="12" t="s">
        <v>425</v>
      </c>
      <c r="F68" s="12">
        <v>1</v>
      </c>
      <c r="G68" s="26">
        <v>0</v>
      </c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25">
        <v>2.79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25">
        <v>3.15</v>
      </c>
    </row>
    <row r="77" spans="1:11">
      <c r="A77" s="12" t="s">
        <v>304</v>
      </c>
      <c r="B77" s="12" t="s">
        <v>92</v>
      </c>
      <c r="C77" s="12" t="s">
        <v>102</v>
      </c>
      <c r="D77" s="12" t="s">
        <v>64</v>
      </c>
      <c r="E77" s="12" t="s">
        <v>13</v>
      </c>
      <c r="F77" s="12" t="s">
        <v>73</v>
      </c>
      <c r="G77" s="12" t="s">
        <v>13</v>
      </c>
      <c r="H77" s="12" t="s">
        <v>53</v>
      </c>
      <c r="I77" s="12" t="s">
        <v>53</v>
      </c>
      <c r="J77" s="12">
        <v>2</v>
      </c>
      <c r="K77" s="26">
        <v>4.78</v>
      </c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5">
        <v>1.13</v>
      </c>
    </row>
    <row r="79" spans="1:11">
      <c r="A79" s="12" t="s">
        <v>306</v>
      </c>
      <c r="B79" s="12" t="s">
        <v>93</v>
      </c>
      <c r="C79" s="12" t="s">
        <v>93</v>
      </c>
      <c r="D79" s="12" t="s">
        <v>92</v>
      </c>
      <c r="E79" s="12" t="s">
        <v>53</v>
      </c>
      <c r="F79" s="12" t="s">
        <v>53</v>
      </c>
      <c r="G79" s="12" t="s">
        <v>53</v>
      </c>
      <c r="H79" s="12" t="s">
        <v>53</v>
      </c>
      <c r="I79" s="12" t="s">
        <v>102</v>
      </c>
      <c r="J79" s="12">
        <v>0</v>
      </c>
      <c r="K79" s="26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5">
        <v>9.109999999999999</v>
      </c>
    </row>
    <row r="81" spans="1:11">
      <c r="A81" s="12" t="s">
        <v>308</v>
      </c>
      <c r="B81" s="12" t="s">
        <v>102</v>
      </c>
      <c r="C81" s="12" t="s">
        <v>102</v>
      </c>
      <c r="D81" s="12" t="s">
        <v>13</v>
      </c>
      <c r="E81" s="12" t="s">
        <v>13</v>
      </c>
      <c r="F81" s="12" t="s">
        <v>13</v>
      </c>
      <c r="G81" s="12" t="s">
        <v>13</v>
      </c>
      <c r="H81" s="12" t="s">
        <v>102</v>
      </c>
      <c r="I81" s="12" t="s">
        <v>64</v>
      </c>
      <c r="J81" s="12">
        <v>4</v>
      </c>
      <c r="K81" s="26">
        <v>2.43</v>
      </c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25">
        <v>2.15</v>
      </c>
    </row>
    <row r="83" spans="1:11">
      <c r="A83" s="12" t="s">
        <v>310</v>
      </c>
      <c r="B83" s="12" t="s">
        <v>92</v>
      </c>
      <c r="C83" s="12" t="s">
        <v>92</v>
      </c>
      <c r="D83" s="12" t="s">
        <v>73</v>
      </c>
      <c r="E83" s="12" t="s">
        <v>39</v>
      </c>
      <c r="F83" s="12" t="s">
        <v>46</v>
      </c>
      <c r="G83" s="12" t="s">
        <v>46</v>
      </c>
      <c r="H83" s="12" t="s">
        <v>102</v>
      </c>
      <c r="I83" s="12" t="s">
        <v>92</v>
      </c>
      <c r="J83" s="12">
        <v>0</v>
      </c>
      <c r="K83" s="26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25">
        <v>0</v>
      </c>
    </row>
    <row r="85" spans="1:11">
      <c r="A85" s="12" t="s">
        <v>313</v>
      </c>
      <c r="B85" s="12" t="s">
        <v>95</v>
      </c>
      <c r="C85" s="12" t="s">
        <v>95</v>
      </c>
      <c r="D85" s="12" t="s">
        <v>39</v>
      </c>
      <c r="E85" s="12" t="s">
        <v>64</v>
      </c>
      <c r="F85" s="12" t="s">
        <v>64</v>
      </c>
      <c r="G85" s="12" t="s">
        <v>39</v>
      </c>
      <c r="H85" s="12" t="s">
        <v>92</v>
      </c>
      <c r="I85" s="12" t="s">
        <v>64</v>
      </c>
      <c r="J85" s="12">
        <v>0</v>
      </c>
      <c r="K85" s="26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5">
        <v>6.98</v>
      </c>
    </row>
    <row r="87" spans="1:11">
      <c r="A87" s="12" t="s">
        <v>315</v>
      </c>
      <c r="B87" s="12" t="s">
        <v>53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1.17</v>
      </c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5">
        <v>8</v>
      </c>
    </row>
    <row r="89" spans="1:11">
      <c r="A89" s="12" t="s">
        <v>317</v>
      </c>
      <c r="B89" s="12" t="s">
        <v>53</v>
      </c>
      <c r="C89" s="12" t="s">
        <v>53</v>
      </c>
      <c r="D89" s="12" t="s">
        <v>13</v>
      </c>
      <c r="E89" s="12" t="s">
        <v>13</v>
      </c>
      <c r="F89" s="12" t="s">
        <v>13</v>
      </c>
      <c r="G89" s="12" t="s">
        <v>13</v>
      </c>
      <c r="H89" s="12" t="s">
        <v>13</v>
      </c>
      <c r="I89" s="12" t="s">
        <v>13</v>
      </c>
      <c r="J89" s="12">
        <v>6</v>
      </c>
      <c r="K89" s="26">
        <v>1.22</v>
      </c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5">
        <v>7.15</v>
      </c>
    </row>
    <row r="91" spans="1:11">
      <c r="A91" s="12" t="s">
        <v>319</v>
      </c>
      <c r="B91" s="12" t="s">
        <v>102</v>
      </c>
      <c r="C91" s="12" t="s">
        <v>64</v>
      </c>
      <c r="D91" s="12" t="s">
        <v>46</v>
      </c>
      <c r="E91" s="12" t="s">
        <v>13</v>
      </c>
      <c r="F91" s="12" t="s">
        <v>13</v>
      </c>
      <c r="G91" s="12" t="s">
        <v>13</v>
      </c>
      <c r="H91" s="12" t="s">
        <v>64</v>
      </c>
      <c r="I91" s="12" t="s">
        <v>73</v>
      </c>
      <c r="J91" s="12">
        <v>3</v>
      </c>
      <c r="K91" s="26">
        <v>3.28</v>
      </c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25">
        <v>1.43</v>
      </c>
    </row>
    <row r="93" spans="1:11">
      <c r="A93" s="12" t="s">
        <v>321</v>
      </c>
      <c r="B93" s="12" t="s">
        <v>102</v>
      </c>
      <c r="C93" s="12" t="s">
        <v>64</v>
      </c>
      <c r="D93" s="12" t="s">
        <v>13</v>
      </c>
      <c r="E93" s="12" t="s">
        <v>13</v>
      </c>
      <c r="F93" s="12" t="s">
        <v>13</v>
      </c>
      <c r="G93" s="12" t="s">
        <v>13</v>
      </c>
      <c r="H93" s="12" t="s">
        <v>13</v>
      </c>
      <c r="I93" s="12" t="s">
        <v>53</v>
      </c>
      <c r="J93" s="12">
        <v>5</v>
      </c>
      <c r="K93" s="26">
        <v>1.35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7">
        <v>38.88888888888889</v>
      </c>
      <c r="F100" s="27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8">
        <v>94.44444444444444</v>
      </c>
      <c r="D106" s="28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2" t="s">
        <v>302</v>
      </c>
      <c r="B107" s="12" t="s">
        <v>303</v>
      </c>
      <c r="C107" s="29">
        <v>94.44444444444444</v>
      </c>
      <c r="D107" s="29">
        <v>5.555555555555557</v>
      </c>
      <c r="E107" s="12">
        <v>17</v>
      </c>
      <c r="F107" s="12">
        <v>1</v>
      </c>
      <c r="G107" s="12">
        <v>3</v>
      </c>
      <c r="H107" s="12">
        <v>2</v>
      </c>
      <c r="I107" s="12">
        <v>2</v>
      </c>
      <c r="J107" s="12">
        <v>4</v>
      </c>
      <c r="K107" s="12">
        <v>3</v>
      </c>
      <c r="L107" s="12">
        <v>1</v>
      </c>
      <c r="M107" s="12">
        <v>2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1</v>
      </c>
    </row>
    <row r="108" spans="1:19">
      <c r="A108" s="7" t="s">
        <v>278</v>
      </c>
      <c r="B108" s="7" t="s">
        <v>279</v>
      </c>
      <c r="C108" s="28">
        <v>50</v>
      </c>
      <c r="D108" s="28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2" t="s">
        <v>281</v>
      </c>
      <c r="B109" s="12" t="s">
        <v>281</v>
      </c>
      <c r="C109" s="29">
        <v>38.88888888888889</v>
      </c>
      <c r="D109" s="29">
        <v>61.11111111111111</v>
      </c>
      <c r="E109" s="12">
        <v>7</v>
      </c>
      <c r="F109" s="12">
        <v>11</v>
      </c>
      <c r="G109" s="12">
        <v>0</v>
      </c>
      <c r="H109" s="12">
        <v>0</v>
      </c>
      <c r="I109" s="12">
        <v>1</v>
      </c>
      <c r="J109" s="12">
        <v>1</v>
      </c>
      <c r="K109" s="12">
        <v>1</v>
      </c>
      <c r="L109" s="12">
        <v>1</v>
      </c>
      <c r="M109" s="12">
        <v>0</v>
      </c>
      <c r="N109" s="12">
        <v>3</v>
      </c>
      <c r="O109" s="12">
        <v>0</v>
      </c>
      <c r="P109" s="12">
        <v>10</v>
      </c>
      <c r="Q109" s="12">
        <v>0</v>
      </c>
      <c r="R109" s="12">
        <v>0</v>
      </c>
      <c r="S109" s="12">
        <v>1</v>
      </c>
    </row>
    <row r="110" spans="1:19">
      <c r="A110" s="7" t="s">
        <v>289</v>
      </c>
      <c r="B110" s="7" t="s">
        <v>289</v>
      </c>
      <c r="C110" s="28">
        <v>50</v>
      </c>
      <c r="D110" s="28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2" t="s">
        <v>285</v>
      </c>
      <c r="B111" s="12" t="s">
        <v>286</v>
      </c>
      <c r="C111" s="29">
        <v>38.88888888888889</v>
      </c>
      <c r="D111" s="29">
        <v>61.11111111111111</v>
      </c>
      <c r="E111" s="12">
        <v>7</v>
      </c>
      <c r="F111" s="12">
        <v>11</v>
      </c>
      <c r="G111" s="12">
        <v>0</v>
      </c>
      <c r="H111" s="12">
        <v>0</v>
      </c>
      <c r="I111" s="12">
        <v>1</v>
      </c>
      <c r="J111" s="12">
        <v>0</v>
      </c>
      <c r="K111" s="12">
        <v>0</v>
      </c>
      <c r="L111" s="12">
        <v>1</v>
      </c>
      <c r="M111" s="12">
        <v>1</v>
      </c>
      <c r="N111" s="12">
        <v>1</v>
      </c>
      <c r="O111" s="12">
        <v>3</v>
      </c>
      <c r="P111" s="12">
        <v>10</v>
      </c>
      <c r="Q111" s="12">
        <v>0</v>
      </c>
      <c r="R111" s="12">
        <v>0</v>
      </c>
      <c r="S111" s="12">
        <v>1</v>
      </c>
    </row>
    <row r="112" spans="1:19">
      <c r="A112" s="7" t="s">
        <v>291</v>
      </c>
      <c r="B112" s="7" t="s">
        <v>291</v>
      </c>
      <c r="C112" s="28">
        <v>66.66666666666666</v>
      </c>
      <c r="D112" s="28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2" t="s">
        <v>28</v>
      </c>
      <c r="B113" s="12" t="s">
        <v>29</v>
      </c>
      <c r="C113" s="29">
        <v>72.22222222222221</v>
      </c>
      <c r="D113" s="29">
        <v>27.77777777777779</v>
      </c>
      <c r="E113" s="12">
        <v>13</v>
      </c>
      <c r="F113" s="12">
        <v>5</v>
      </c>
      <c r="G113" s="12">
        <v>1</v>
      </c>
      <c r="H113" s="12">
        <v>0</v>
      </c>
      <c r="I113" s="12">
        <v>2</v>
      </c>
      <c r="J113" s="12">
        <v>2</v>
      </c>
      <c r="K113" s="12">
        <v>2</v>
      </c>
      <c r="L113" s="12">
        <v>3</v>
      </c>
      <c r="M113" s="12">
        <v>1</v>
      </c>
      <c r="N113" s="12">
        <v>0</v>
      </c>
      <c r="O113" s="12">
        <v>2</v>
      </c>
      <c r="P113" s="12">
        <v>4</v>
      </c>
      <c r="Q113" s="12">
        <v>0</v>
      </c>
      <c r="R113" s="12">
        <v>0</v>
      </c>
      <c r="S113" s="12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A36:E37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4:F46">
    <cfRule type="containsText" dxfId="1" priority="11" operator="containsText" text="F">
      <formula>NOT(ISERROR(SEARCH("F",A44)))</formula>
    </cfRule>
    <cfRule type="containsText" dxfId="1" priority="12" operator="containsText" text="FE">
      <formula>NOT(ISERROR(SEARCH("FE",A44)))</formula>
    </cfRule>
    <cfRule type="containsText" dxfId="1" priority="13" operator="containsText" text="ABSENT">
      <formula>NOT(ISERROR(SEARCH("ABSENT",A44)))</formula>
    </cfRule>
    <cfRule type="containsText" dxfId="1" priority="14" operator="containsText" text="AB">
      <formula>NOT(ISERROR(SEARCH("AB",A44)))</formula>
    </cfRule>
    <cfRule type="containsText" dxfId="1" priority="15" operator="containsText" text="WITHHELD">
      <formula>NOT(ISERROR(SEARCH("WITHHELD",A44)))</formula>
    </cfRule>
    <cfRule type="containsText" dxfId="1" priority="16" operator="containsText" text="I">
      <formula>NOT(ISERROR(SEARCH("I",A44)))</formula>
    </cfRule>
  </conditionalFormatting>
  <conditionalFormatting sqref="A53:I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G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93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6:C113">
    <cfRule type="cellIs" dxfId="6" priority="52" operator="lessThan">
      <formula>40</formula>
    </cfRule>
  </conditionalFormatting>
  <conditionalFormatting sqref="E100">
    <cfRule type="cellIs" dxfId="6" priority="51" operator="lessThan">
      <formula>40</formula>
    </cfRule>
  </conditionalFormatting>
  <conditionalFormatting sqref="E36:E37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F44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5:G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I53:I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93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IFERROR(VLOOKUP("CS_" &amp; UPPER($B$8), _DATA_!$A$2:$AZ$62, 2, FALSE), 0)</f>
        <v>0</v>
      </c>
      <c r="B13" s="21"/>
      <c r="C13" s="21"/>
      <c r="D13" s="21"/>
      <c r="E13" s="22">
        <f>IFERROR(VLOOKUP("CS_" &amp; UPPER($B$8), _DATA_!$A$2:$AZ$62, 3, FALSE), 0)</f>
        <v>0</v>
      </c>
      <c r="F13" s="22"/>
      <c r="G13" s="22"/>
      <c r="H13" s="22"/>
      <c r="I13" s="23">
        <f>IFERROR(VLOOKUP("CS_" &amp; UPPER($B$8), _DATA_!$A$2:$AZ$62, 4, FALSE), 0)</f>
        <v>0</v>
      </c>
      <c r="J13" s="23"/>
      <c r="K13" s="23"/>
      <c r="L13" s="24">
        <f>IFERROR(VLOOKUP("CS_" &amp; UPPER($B$8), _DATA_!$A$2:$AZ$62, 5, FALSE), 0)</f>
        <v>0</v>
      </c>
      <c r="M13" s="24"/>
      <c r="N13" s="24"/>
      <c r="O13" s="24">
        <f>IFERROR(VLOOKUP("CS_"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25">
        <v>0</v>
      </c>
    </row>
    <row r="37" spans="1:7">
      <c r="A37" s="12" t="s">
        <v>14</v>
      </c>
      <c r="B37" s="12" t="s">
        <v>13</v>
      </c>
      <c r="C37" s="12" t="s">
        <v>425</v>
      </c>
      <c r="D37" s="12" t="s">
        <v>425</v>
      </c>
      <c r="E37" s="12" t="s">
        <v>425</v>
      </c>
      <c r="F37" s="12">
        <v>1</v>
      </c>
      <c r="G37" s="26">
        <v>0</v>
      </c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25">
        <v>0</v>
      </c>
    </row>
    <row r="39" spans="1:7">
      <c r="A39" s="12" t="s">
        <v>22</v>
      </c>
      <c r="B39" s="12" t="s">
        <v>13</v>
      </c>
      <c r="C39" s="12" t="s">
        <v>425</v>
      </c>
      <c r="D39" s="12" t="s">
        <v>425</v>
      </c>
      <c r="E39" s="12" t="s">
        <v>425</v>
      </c>
      <c r="F39" s="12">
        <v>1</v>
      </c>
      <c r="G39" s="26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25">
        <v>0</v>
      </c>
    </row>
    <row r="47" spans="1:7">
      <c r="A47" s="12" t="s">
        <v>27</v>
      </c>
      <c r="B47" s="12" t="s">
        <v>13</v>
      </c>
      <c r="C47" s="12" t="s">
        <v>13</v>
      </c>
      <c r="D47" s="12" t="s">
        <v>13</v>
      </c>
      <c r="E47" s="12" t="s">
        <v>13</v>
      </c>
      <c r="F47" s="12">
        <v>4</v>
      </c>
      <c r="G47" s="26">
        <v>0</v>
      </c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25">
        <v>0</v>
      </c>
    </row>
    <row r="49" spans="1:7">
      <c r="A49" s="12" t="s">
        <v>31</v>
      </c>
      <c r="B49" s="12" t="s">
        <v>13</v>
      </c>
      <c r="C49" s="12" t="s">
        <v>425</v>
      </c>
      <c r="D49" s="12" t="s">
        <v>425</v>
      </c>
      <c r="E49" s="12" t="s">
        <v>425</v>
      </c>
      <c r="F49" s="12">
        <v>1</v>
      </c>
      <c r="G49" s="26">
        <v>0</v>
      </c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25">
        <v>0</v>
      </c>
    </row>
    <row r="51" spans="1:7">
      <c r="A51" s="12" t="s">
        <v>33</v>
      </c>
      <c r="B51" s="12" t="s">
        <v>13</v>
      </c>
      <c r="C51" s="12" t="s">
        <v>425</v>
      </c>
      <c r="D51" s="12" t="s">
        <v>425</v>
      </c>
      <c r="E51" s="12" t="s">
        <v>425</v>
      </c>
      <c r="F51" s="12">
        <v>1</v>
      </c>
      <c r="G51" s="26">
        <v>0</v>
      </c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25">
        <v>0</v>
      </c>
    </row>
    <row r="53" spans="1:7">
      <c r="A53" s="12" t="s">
        <v>35</v>
      </c>
      <c r="B53" s="12" t="s">
        <v>13</v>
      </c>
      <c r="C53" s="12" t="s">
        <v>425</v>
      </c>
      <c r="D53" s="12" t="s">
        <v>425</v>
      </c>
      <c r="E53" s="12" t="s">
        <v>425</v>
      </c>
      <c r="F53" s="12">
        <v>1</v>
      </c>
      <c r="G53" s="26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5">
        <v>0</v>
      </c>
    </row>
    <row r="61" spans="1:7">
      <c r="A61" s="12" t="s">
        <v>38</v>
      </c>
      <c r="B61" s="12" t="s">
        <v>39</v>
      </c>
      <c r="C61" s="12" t="s">
        <v>13</v>
      </c>
      <c r="D61" s="12" t="s">
        <v>13</v>
      </c>
      <c r="E61" s="12" t="s">
        <v>425</v>
      </c>
      <c r="F61" s="12">
        <v>2</v>
      </c>
      <c r="G61" s="26">
        <v>2.18</v>
      </c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25">
        <v>0</v>
      </c>
    </row>
    <row r="63" spans="1:7">
      <c r="A63" s="12" t="s">
        <v>41</v>
      </c>
      <c r="B63" s="12" t="s">
        <v>13</v>
      </c>
      <c r="C63" s="12" t="s">
        <v>425</v>
      </c>
      <c r="D63" s="12" t="s">
        <v>425</v>
      </c>
      <c r="E63" s="12" t="s">
        <v>425</v>
      </c>
      <c r="F63" s="12">
        <v>1</v>
      </c>
      <c r="G63" s="26">
        <v>0</v>
      </c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25">
        <v>0</v>
      </c>
    </row>
    <row r="65" spans="1:10">
      <c r="A65" s="12" t="s">
        <v>43</v>
      </c>
      <c r="B65" s="12" t="s">
        <v>13</v>
      </c>
      <c r="C65" s="12" t="s">
        <v>16</v>
      </c>
      <c r="D65" s="12" t="s">
        <v>425</v>
      </c>
      <c r="E65" s="12" t="s">
        <v>425</v>
      </c>
      <c r="F65" s="12">
        <v>2</v>
      </c>
      <c r="G65" s="26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25">
        <v>0</v>
      </c>
    </row>
    <row r="73" spans="1:10">
      <c r="A73" s="12" t="s">
        <v>47</v>
      </c>
      <c r="B73" s="12" t="s">
        <v>425</v>
      </c>
      <c r="C73" s="12" t="s">
        <v>13</v>
      </c>
      <c r="D73" s="12" t="s">
        <v>425</v>
      </c>
      <c r="E73" s="12" t="s">
        <v>13</v>
      </c>
      <c r="F73" s="12" t="s">
        <v>425</v>
      </c>
      <c r="G73" s="12" t="s">
        <v>425</v>
      </c>
      <c r="H73" s="12" t="s">
        <v>13</v>
      </c>
      <c r="I73" s="12">
        <v>3</v>
      </c>
      <c r="J73" s="26">
        <v>0</v>
      </c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25">
        <v>0</v>
      </c>
    </row>
    <row r="75" spans="1:10">
      <c r="A75" s="12" t="s">
        <v>49</v>
      </c>
      <c r="B75" s="12" t="s">
        <v>425</v>
      </c>
      <c r="C75" s="12" t="s">
        <v>425</v>
      </c>
      <c r="D75" s="12" t="s">
        <v>13</v>
      </c>
      <c r="E75" s="12" t="s">
        <v>13</v>
      </c>
      <c r="F75" s="12" t="s">
        <v>425</v>
      </c>
      <c r="G75" s="12" t="s">
        <v>13</v>
      </c>
      <c r="H75" s="12" t="s">
        <v>425</v>
      </c>
      <c r="I75" s="12">
        <v>3</v>
      </c>
      <c r="J75" s="26">
        <v>0</v>
      </c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25">
        <v>0</v>
      </c>
    </row>
    <row r="77" spans="1:10">
      <c r="A77" s="12" t="s">
        <v>54</v>
      </c>
      <c r="B77" s="12" t="s">
        <v>13</v>
      </c>
      <c r="C77" s="12" t="s">
        <v>13</v>
      </c>
      <c r="D77" s="12" t="s">
        <v>425</v>
      </c>
      <c r="E77" s="12" t="s">
        <v>13</v>
      </c>
      <c r="F77" s="12" t="s">
        <v>425</v>
      </c>
      <c r="G77" s="12" t="s">
        <v>425</v>
      </c>
      <c r="H77" s="12" t="s">
        <v>425</v>
      </c>
      <c r="I77" s="12">
        <v>3</v>
      </c>
      <c r="J77" s="26">
        <v>0</v>
      </c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25">
        <v>0</v>
      </c>
    </row>
    <row r="79" spans="1:10">
      <c r="A79" s="12" t="s">
        <v>56</v>
      </c>
      <c r="B79" s="12" t="s">
        <v>13</v>
      </c>
      <c r="C79" s="12" t="s">
        <v>425</v>
      </c>
      <c r="D79" s="12" t="s">
        <v>425</v>
      </c>
      <c r="E79" s="12" t="s">
        <v>425</v>
      </c>
      <c r="F79" s="12" t="s">
        <v>425</v>
      </c>
      <c r="G79" s="12" t="s">
        <v>425</v>
      </c>
      <c r="H79" s="12" t="s">
        <v>425</v>
      </c>
      <c r="I79" s="12">
        <v>1</v>
      </c>
      <c r="J79" s="26">
        <v>0</v>
      </c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25">
        <v>2.93</v>
      </c>
    </row>
    <row r="81" spans="1:10">
      <c r="A81" s="12" t="s">
        <v>58</v>
      </c>
      <c r="B81" s="12" t="s">
        <v>425</v>
      </c>
      <c r="C81" s="12" t="s">
        <v>13</v>
      </c>
      <c r="D81" s="12" t="s">
        <v>425</v>
      </c>
      <c r="E81" s="12" t="s">
        <v>16</v>
      </c>
      <c r="F81" s="12" t="s">
        <v>425</v>
      </c>
      <c r="G81" s="12" t="s">
        <v>425</v>
      </c>
      <c r="H81" s="12" t="s">
        <v>425</v>
      </c>
      <c r="I81" s="12">
        <v>2</v>
      </c>
      <c r="J81" s="26">
        <v>0</v>
      </c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25">
        <v>0</v>
      </c>
    </row>
    <row r="83" spans="1:10">
      <c r="A83" s="12" t="s">
        <v>60</v>
      </c>
      <c r="B83" s="12" t="s">
        <v>425</v>
      </c>
      <c r="C83" s="12" t="s">
        <v>13</v>
      </c>
      <c r="D83" s="12" t="s">
        <v>425</v>
      </c>
      <c r="E83" s="12" t="s">
        <v>425</v>
      </c>
      <c r="F83" s="12" t="s">
        <v>425</v>
      </c>
      <c r="G83" s="12" t="s">
        <v>425</v>
      </c>
      <c r="H83" s="12" t="s">
        <v>46</v>
      </c>
      <c r="I83" s="12">
        <v>1</v>
      </c>
      <c r="J83" s="26">
        <v>0</v>
      </c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25">
        <v>0</v>
      </c>
    </row>
    <row r="85" spans="1:10">
      <c r="A85" s="12" t="s">
        <v>62</v>
      </c>
      <c r="B85" s="12" t="s">
        <v>425</v>
      </c>
      <c r="C85" s="12" t="s">
        <v>13</v>
      </c>
      <c r="D85" s="12" t="s">
        <v>425</v>
      </c>
      <c r="E85" s="12" t="s">
        <v>425</v>
      </c>
      <c r="F85" s="12" t="s">
        <v>425</v>
      </c>
      <c r="G85" s="12" t="s">
        <v>425</v>
      </c>
      <c r="H85" s="12" t="s">
        <v>425</v>
      </c>
      <c r="I85" s="12">
        <v>1</v>
      </c>
      <c r="J85" s="26">
        <v>0</v>
      </c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25">
        <v>0</v>
      </c>
    </row>
    <row r="87" spans="1:10">
      <c r="A87" s="12" t="s">
        <v>65</v>
      </c>
      <c r="B87" s="12" t="s">
        <v>13</v>
      </c>
      <c r="C87" s="12" t="s">
        <v>16</v>
      </c>
      <c r="D87" s="12" t="s">
        <v>425</v>
      </c>
      <c r="E87" s="12" t="s">
        <v>16</v>
      </c>
      <c r="F87" s="12" t="s">
        <v>16</v>
      </c>
      <c r="G87" s="12" t="s">
        <v>425</v>
      </c>
      <c r="H87" s="12" t="s">
        <v>425</v>
      </c>
      <c r="I87" s="12">
        <v>4</v>
      </c>
      <c r="J87" s="26">
        <v>0</v>
      </c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25">
        <v>0</v>
      </c>
    </row>
    <row r="89" spans="1:10">
      <c r="A89" s="12" t="s">
        <v>67</v>
      </c>
      <c r="B89" s="12" t="s">
        <v>13</v>
      </c>
      <c r="C89" s="12" t="s">
        <v>16</v>
      </c>
      <c r="D89" s="12" t="s">
        <v>425</v>
      </c>
      <c r="E89" s="12" t="s">
        <v>425</v>
      </c>
      <c r="F89" s="12" t="s">
        <v>425</v>
      </c>
      <c r="G89" s="12" t="s">
        <v>425</v>
      </c>
      <c r="H89" s="12" t="s">
        <v>425</v>
      </c>
      <c r="I89" s="12">
        <v>2</v>
      </c>
      <c r="J89" s="26">
        <v>0</v>
      </c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25">
        <v>0</v>
      </c>
    </row>
    <row r="91" spans="1:10">
      <c r="A91" s="12" t="s">
        <v>69</v>
      </c>
      <c r="B91" s="12" t="s">
        <v>425</v>
      </c>
      <c r="C91" s="12" t="s">
        <v>13</v>
      </c>
      <c r="D91" s="12" t="s">
        <v>13</v>
      </c>
      <c r="E91" s="12" t="s">
        <v>13</v>
      </c>
      <c r="F91" s="12" t="s">
        <v>13</v>
      </c>
      <c r="G91" s="12" t="s">
        <v>425</v>
      </c>
      <c r="H91" s="12" t="s">
        <v>425</v>
      </c>
      <c r="I91" s="12">
        <v>4</v>
      </c>
      <c r="J91" s="26">
        <v>0</v>
      </c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25">
        <v>0</v>
      </c>
    </row>
    <row r="93" spans="1:10">
      <c r="A93" s="12" t="s">
        <v>71</v>
      </c>
      <c r="B93" s="12" t="s">
        <v>425</v>
      </c>
      <c r="C93" s="12" t="s">
        <v>425</v>
      </c>
      <c r="D93" s="12" t="s">
        <v>13</v>
      </c>
      <c r="E93" s="12" t="s">
        <v>13</v>
      </c>
      <c r="F93" s="12" t="s">
        <v>16</v>
      </c>
      <c r="G93" s="12" t="s">
        <v>425</v>
      </c>
      <c r="H93" s="12" t="s">
        <v>425</v>
      </c>
      <c r="I93" s="12">
        <v>3</v>
      </c>
      <c r="J93" s="26">
        <v>0</v>
      </c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5">
        <v>6.5</v>
      </c>
    </row>
    <row r="95" spans="1:10">
      <c r="A95" s="12" t="s">
        <v>74</v>
      </c>
      <c r="B95" s="12" t="s">
        <v>425</v>
      </c>
      <c r="C95" s="12" t="s">
        <v>16</v>
      </c>
      <c r="D95" s="12" t="s">
        <v>13</v>
      </c>
      <c r="E95" s="12" t="s">
        <v>425</v>
      </c>
      <c r="F95" s="12" t="s">
        <v>13</v>
      </c>
      <c r="G95" s="12" t="s">
        <v>425</v>
      </c>
      <c r="H95" s="12" t="s">
        <v>425</v>
      </c>
      <c r="I95" s="12">
        <v>3</v>
      </c>
      <c r="J95" s="26">
        <v>0</v>
      </c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25">
        <v>0</v>
      </c>
    </row>
    <row r="97" spans="1:10">
      <c r="A97" s="12" t="s">
        <v>76</v>
      </c>
      <c r="B97" s="12" t="s">
        <v>425</v>
      </c>
      <c r="C97" s="12" t="s">
        <v>13</v>
      </c>
      <c r="D97" s="12" t="s">
        <v>13</v>
      </c>
      <c r="E97" s="12" t="s">
        <v>13</v>
      </c>
      <c r="F97" s="12" t="s">
        <v>425</v>
      </c>
      <c r="G97" s="12" t="s">
        <v>425</v>
      </c>
      <c r="H97" s="12" t="s">
        <v>425</v>
      </c>
      <c r="I97" s="12">
        <v>3</v>
      </c>
      <c r="J97" s="26">
        <v>0</v>
      </c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5">
        <v>5.71</v>
      </c>
    </row>
    <row r="99" spans="1:10">
      <c r="A99" s="12" t="s">
        <v>78</v>
      </c>
      <c r="B99" s="12" t="s">
        <v>13</v>
      </c>
      <c r="C99" s="12" t="s">
        <v>425</v>
      </c>
      <c r="D99" s="12" t="s">
        <v>425</v>
      </c>
      <c r="E99" s="12" t="s">
        <v>13</v>
      </c>
      <c r="F99" s="12" t="s">
        <v>39</v>
      </c>
      <c r="G99" s="12" t="s">
        <v>425</v>
      </c>
      <c r="H99" s="12" t="s">
        <v>425</v>
      </c>
      <c r="I99" s="12">
        <v>2</v>
      </c>
      <c r="J99" s="26">
        <v>1.64</v>
      </c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25">
        <v>0</v>
      </c>
    </row>
    <row r="101" spans="1:10">
      <c r="A101" s="12" t="s">
        <v>80</v>
      </c>
      <c r="B101" s="12" t="s">
        <v>425</v>
      </c>
      <c r="C101" s="12" t="s">
        <v>425</v>
      </c>
      <c r="D101" s="12" t="s">
        <v>13</v>
      </c>
      <c r="E101" s="12" t="s">
        <v>425</v>
      </c>
      <c r="F101" s="12" t="s">
        <v>425</v>
      </c>
      <c r="G101" s="12" t="s">
        <v>425</v>
      </c>
      <c r="H101" s="12" t="s">
        <v>425</v>
      </c>
      <c r="I101" s="12">
        <v>1</v>
      </c>
      <c r="J101" s="26">
        <v>0</v>
      </c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25">
        <v>0</v>
      </c>
    </row>
    <row r="103" spans="1:10">
      <c r="A103" s="12" t="s">
        <v>82</v>
      </c>
      <c r="B103" s="12" t="s">
        <v>425</v>
      </c>
      <c r="C103" s="12" t="s">
        <v>13</v>
      </c>
      <c r="D103" s="12" t="s">
        <v>425</v>
      </c>
      <c r="E103" s="12" t="s">
        <v>425</v>
      </c>
      <c r="F103" s="12" t="s">
        <v>425</v>
      </c>
      <c r="G103" s="12" t="s">
        <v>425</v>
      </c>
      <c r="H103" s="12" t="s">
        <v>425</v>
      </c>
      <c r="I103" s="12">
        <v>1</v>
      </c>
      <c r="J103" s="26">
        <v>0</v>
      </c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25">
        <v>2.32</v>
      </c>
    </row>
    <row r="105" spans="1:10">
      <c r="A105" s="12" t="s">
        <v>84</v>
      </c>
      <c r="B105" s="12" t="s">
        <v>13</v>
      </c>
      <c r="C105" s="12" t="s">
        <v>16</v>
      </c>
      <c r="D105" s="12" t="s">
        <v>13</v>
      </c>
      <c r="E105" s="12" t="s">
        <v>16</v>
      </c>
      <c r="F105" s="12" t="s">
        <v>425</v>
      </c>
      <c r="G105" s="12" t="s">
        <v>425</v>
      </c>
      <c r="H105" s="12" t="s">
        <v>425</v>
      </c>
      <c r="I105" s="12">
        <v>4</v>
      </c>
      <c r="J105" s="26">
        <v>0</v>
      </c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25">
        <v>0</v>
      </c>
    </row>
    <row r="107" spans="1:10">
      <c r="A107" s="12" t="s">
        <v>86</v>
      </c>
      <c r="B107" s="12" t="s">
        <v>13</v>
      </c>
      <c r="C107" s="12" t="s">
        <v>13</v>
      </c>
      <c r="D107" s="12" t="s">
        <v>13</v>
      </c>
      <c r="E107" s="12" t="s">
        <v>13</v>
      </c>
      <c r="F107" s="12" t="s">
        <v>425</v>
      </c>
      <c r="G107" s="12" t="s">
        <v>425</v>
      </c>
      <c r="H107" s="12" t="s">
        <v>425</v>
      </c>
      <c r="I107" s="12">
        <v>4</v>
      </c>
      <c r="J107" s="26">
        <v>0</v>
      </c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25">
        <v>0</v>
      </c>
    </row>
    <row r="109" spans="1:10">
      <c r="A109" s="12" t="s">
        <v>88</v>
      </c>
      <c r="B109" s="12" t="s">
        <v>425</v>
      </c>
      <c r="C109" s="12" t="s">
        <v>13</v>
      </c>
      <c r="D109" s="12" t="s">
        <v>13</v>
      </c>
      <c r="E109" s="12" t="s">
        <v>13</v>
      </c>
      <c r="F109" s="12" t="s">
        <v>16</v>
      </c>
      <c r="G109" s="12" t="s">
        <v>425</v>
      </c>
      <c r="H109" s="12" t="s">
        <v>425</v>
      </c>
      <c r="I109" s="12">
        <v>4</v>
      </c>
      <c r="J109" s="26">
        <v>0</v>
      </c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25">
        <v>2.57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5">
        <v>7.93</v>
      </c>
    </row>
    <row r="118" spans="1:11">
      <c r="A118" s="12" t="s">
        <v>98</v>
      </c>
      <c r="B118" s="12" t="s">
        <v>92</v>
      </c>
      <c r="C118" s="12" t="s">
        <v>95</v>
      </c>
      <c r="D118" s="12" t="s">
        <v>46</v>
      </c>
      <c r="E118" s="12" t="s">
        <v>46</v>
      </c>
      <c r="F118" s="12" t="s">
        <v>46</v>
      </c>
      <c r="G118" s="12" t="s">
        <v>46</v>
      </c>
      <c r="H118" s="12" t="s">
        <v>46</v>
      </c>
      <c r="I118" s="12" t="s">
        <v>64</v>
      </c>
      <c r="J118" s="12">
        <v>0</v>
      </c>
      <c r="K118" s="26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5">
        <v>6.89</v>
      </c>
    </row>
    <row r="120" spans="1:11">
      <c r="A120" s="12" t="s">
        <v>100</v>
      </c>
      <c r="B120" s="12" t="s">
        <v>93</v>
      </c>
      <c r="C120" s="12" t="s">
        <v>92</v>
      </c>
      <c r="D120" s="12" t="s">
        <v>13</v>
      </c>
      <c r="E120" s="12" t="s">
        <v>13</v>
      </c>
      <c r="F120" s="12" t="s">
        <v>13</v>
      </c>
      <c r="G120" s="12" t="s">
        <v>13</v>
      </c>
      <c r="H120" s="12" t="s">
        <v>13</v>
      </c>
      <c r="I120" s="12" t="s">
        <v>13</v>
      </c>
      <c r="J120" s="12">
        <v>6</v>
      </c>
      <c r="K120" s="26">
        <v>1.52</v>
      </c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5">
        <v>6.8</v>
      </c>
    </row>
    <row r="122" spans="1:11">
      <c r="A122" s="12" t="s">
        <v>103</v>
      </c>
      <c r="B122" s="12" t="s">
        <v>95</v>
      </c>
      <c r="C122" s="12" t="s">
        <v>95</v>
      </c>
      <c r="D122" s="12" t="s">
        <v>92</v>
      </c>
      <c r="E122" s="12" t="s">
        <v>64</v>
      </c>
      <c r="F122" s="12" t="s">
        <v>46</v>
      </c>
      <c r="G122" s="12" t="s">
        <v>73</v>
      </c>
      <c r="H122" s="12" t="s">
        <v>53</v>
      </c>
      <c r="I122" s="12" t="s">
        <v>102</v>
      </c>
      <c r="J122" s="12">
        <v>0</v>
      </c>
      <c r="K122" s="26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5">
        <v>1.35</v>
      </c>
    </row>
    <row r="124" spans="1:11">
      <c r="A124" s="12" t="s">
        <v>105</v>
      </c>
      <c r="B124" s="12" t="s">
        <v>95</v>
      </c>
      <c r="C124" s="12" t="s">
        <v>102</v>
      </c>
      <c r="D124" s="12" t="s">
        <v>13</v>
      </c>
      <c r="E124" s="12" t="s">
        <v>13</v>
      </c>
      <c r="F124" s="12" t="s">
        <v>13</v>
      </c>
      <c r="G124" s="12" t="s">
        <v>13</v>
      </c>
      <c r="H124" s="12" t="s">
        <v>13</v>
      </c>
      <c r="I124" s="12" t="s">
        <v>39</v>
      </c>
      <c r="J124" s="12">
        <v>5</v>
      </c>
      <c r="K124" s="26">
        <v>1.57</v>
      </c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25">
        <v>1.35</v>
      </c>
    </row>
    <row r="126" spans="1:11">
      <c r="A126" s="12" t="s">
        <v>107</v>
      </c>
      <c r="B126" s="12" t="s">
        <v>64</v>
      </c>
      <c r="C126" s="12" t="s">
        <v>53</v>
      </c>
      <c r="D126" s="12" t="s">
        <v>13</v>
      </c>
      <c r="E126" s="12" t="s">
        <v>46</v>
      </c>
      <c r="F126" s="12" t="s">
        <v>13</v>
      </c>
      <c r="G126" s="12" t="s">
        <v>13</v>
      </c>
      <c r="H126" s="12" t="s">
        <v>73</v>
      </c>
      <c r="I126" s="12" t="s">
        <v>92</v>
      </c>
      <c r="J126" s="12">
        <v>3</v>
      </c>
      <c r="K126" s="26">
        <v>3.07</v>
      </c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25">
        <v>3.57</v>
      </c>
    </row>
    <row r="128" spans="1:11">
      <c r="A128" s="12" t="s">
        <v>109</v>
      </c>
      <c r="B128" s="12" t="s">
        <v>92</v>
      </c>
      <c r="C128" s="12" t="s">
        <v>92</v>
      </c>
      <c r="D128" s="12" t="s">
        <v>13</v>
      </c>
      <c r="E128" s="12" t="s">
        <v>13</v>
      </c>
      <c r="F128" s="12" t="s">
        <v>13</v>
      </c>
      <c r="G128" s="12" t="s">
        <v>13</v>
      </c>
      <c r="H128" s="12" t="s">
        <v>13</v>
      </c>
      <c r="I128" s="12" t="s">
        <v>39</v>
      </c>
      <c r="J128" s="12">
        <v>5</v>
      </c>
      <c r="K128" s="26">
        <v>1.48</v>
      </c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25">
        <v>1.93</v>
      </c>
    </row>
    <row r="130" spans="1:11">
      <c r="A130" s="12" t="s">
        <v>111</v>
      </c>
      <c r="B130" s="12" t="s">
        <v>95</v>
      </c>
      <c r="C130" s="12" t="s">
        <v>95</v>
      </c>
      <c r="D130" s="12" t="s">
        <v>13</v>
      </c>
      <c r="E130" s="12" t="s">
        <v>13</v>
      </c>
      <c r="F130" s="12" t="s">
        <v>46</v>
      </c>
      <c r="G130" s="12" t="s">
        <v>13</v>
      </c>
      <c r="H130" s="12" t="s">
        <v>46</v>
      </c>
      <c r="I130" s="12" t="s">
        <v>46</v>
      </c>
      <c r="J130" s="12">
        <v>3</v>
      </c>
      <c r="K130" s="26">
        <v>3.41</v>
      </c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5">
        <v>8.09</v>
      </c>
    </row>
    <row r="132" spans="1:11">
      <c r="A132" s="12" t="s">
        <v>113</v>
      </c>
      <c r="B132" s="12" t="s">
        <v>95</v>
      </c>
      <c r="C132" s="12" t="s">
        <v>95</v>
      </c>
      <c r="D132" s="12" t="s">
        <v>46</v>
      </c>
      <c r="E132" s="12" t="s">
        <v>64</v>
      </c>
      <c r="F132" s="12" t="s">
        <v>73</v>
      </c>
      <c r="G132" s="12" t="s">
        <v>46</v>
      </c>
      <c r="H132" s="12" t="s">
        <v>46</v>
      </c>
      <c r="I132" s="12" t="s">
        <v>92</v>
      </c>
      <c r="J132" s="12">
        <v>0</v>
      </c>
      <c r="K132" s="26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5">
        <v>6.46</v>
      </c>
    </row>
    <row r="134" spans="1:11">
      <c r="A134" s="12" t="s">
        <v>115</v>
      </c>
      <c r="B134" s="12" t="s">
        <v>95</v>
      </c>
      <c r="C134" s="12" t="s">
        <v>95</v>
      </c>
      <c r="D134" s="12" t="s">
        <v>92</v>
      </c>
      <c r="E134" s="12" t="s">
        <v>46</v>
      </c>
      <c r="F134" s="12" t="s">
        <v>39</v>
      </c>
      <c r="G134" s="12" t="s">
        <v>46</v>
      </c>
      <c r="H134" s="12" t="s">
        <v>64</v>
      </c>
      <c r="I134" s="12" t="s">
        <v>92</v>
      </c>
      <c r="J134" s="12">
        <v>0</v>
      </c>
      <c r="K134" s="26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25">
        <v>3.2</v>
      </c>
    </row>
    <row r="136" spans="1:11">
      <c r="A136" s="12" t="s">
        <v>117</v>
      </c>
      <c r="B136" s="12" t="s">
        <v>93</v>
      </c>
      <c r="C136" s="12" t="s">
        <v>53</v>
      </c>
      <c r="D136" s="12" t="s">
        <v>53</v>
      </c>
      <c r="E136" s="12" t="s">
        <v>13</v>
      </c>
      <c r="F136" s="12" t="s">
        <v>46</v>
      </c>
      <c r="G136" s="12" t="s">
        <v>13</v>
      </c>
      <c r="H136" s="12" t="s">
        <v>13</v>
      </c>
      <c r="I136" s="12" t="s">
        <v>64</v>
      </c>
      <c r="J136" s="12">
        <v>3</v>
      </c>
      <c r="K136" s="26">
        <v>3.57</v>
      </c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5">
        <v>7.37</v>
      </c>
    </row>
    <row r="138" spans="1:11">
      <c r="A138" s="12" t="s">
        <v>119</v>
      </c>
      <c r="B138" s="12" t="s">
        <v>102</v>
      </c>
      <c r="C138" s="12" t="s">
        <v>73</v>
      </c>
      <c r="D138" s="12" t="s">
        <v>13</v>
      </c>
      <c r="E138" s="12" t="s">
        <v>13</v>
      </c>
      <c r="F138" s="12" t="s">
        <v>13</v>
      </c>
      <c r="G138" s="12" t="s">
        <v>13</v>
      </c>
      <c r="H138" s="12" t="s">
        <v>13</v>
      </c>
      <c r="I138" s="12" t="s">
        <v>73</v>
      </c>
      <c r="J138" s="12">
        <v>5</v>
      </c>
      <c r="K138" s="26">
        <v>1.26</v>
      </c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5">
        <v>6.85</v>
      </c>
    </row>
    <row r="140" spans="1:11">
      <c r="A140" s="12" t="s">
        <v>121</v>
      </c>
      <c r="B140" s="12" t="s">
        <v>93</v>
      </c>
      <c r="C140" s="12" t="s">
        <v>95</v>
      </c>
      <c r="D140" s="12" t="s">
        <v>102</v>
      </c>
      <c r="E140" s="12" t="s">
        <v>46</v>
      </c>
      <c r="F140" s="12" t="s">
        <v>39</v>
      </c>
      <c r="G140" s="12" t="s">
        <v>39</v>
      </c>
      <c r="H140" s="12" t="s">
        <v>53</v>
      </c>
      <c r="I140" s="12" t="s">
        <v>92</v>
      </c>
      <c r="J140" s="12">
        <v>0</v>
      </c>
      <c r="K140" s="26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25">
        <v>1.35</v>
      </c>
    </row>
    <row r="142" spans="1:11">
      <c r="A142" s="12" t="s">
        <v>123</v>
      </c>
      <c r="B142" s="12" t="s">
        <v>92</v>
      </c>
      <c r="C142" s="12" t="s">
        <v>73</v>
      </c>
      <c r="D142" s="12" t="s">
        <v>13</v>
      </c>
      <c r="E142" s="12" t="s">
        <v>46</v>
      </c>
      <c r="F142" s="12" t="s">
        <v>13</v>
      </c>
      <c r="G142" s="12" t="s">
        <v>13</v>
      </c>
      <c r="H142" s="12" t="s">
        <v>46</v>
      </c>
      <c r="I142" s="12" t="s">
        <v>64</v>
      </c>
      <c r="J142" s="12">
        <v>3</v>
      </c>
      <c r="K142" s="26">
        <v>2.98</v>
      </c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25">
        <v>2.39</v>
      </c>
    </row>
    <row r="144" spans="1:11">
      <c r="A144" s="12" t="s">
        <v>125</v>
      </c>
      <c r="B144" s="12" t="s">
        <v>93</v>
      </c>
      <c r="C144" s="12" t="s">
        <v>53</v>
      </c>
      <c r="D144" s="12" t="s">
        <v>13</v>
      </c>
      <c r="E144" s="12" t="s">
        <v>13</v>
      </c>
      <c r="F144" s="12" t="s">
        <v>13</v>
      </c>
      <c r="G144" s="12" t="s">
        <v>13</v>
      </c>
      <c r="H144" s="12" t="s">
        <v>13</v>
      </c>
      <c r="I144" s="12" t="s">
        <v>39</v>
      </c>
      <c r="J144" s="12">
        <v>5</v>
      </c>
      <c r="K144" s="26">
        <v>1.39</v>
      </c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25">
        <v>1.48</v>
      </c>
    </row>
    <row r="146" spans="1:11">
      <c r="A146" s="12" t="s">
        <v>127</v>
      </c>
      <c r="B146" s="12" t="s">
        <v>93</v>
      </c>
      <c r="C146" s="12" t="s">
        <v>53</v>
      </c>
      <c r="D146" s="12" t="s">
        <v>13</v>
      </c>
      <c r="E146" s="12" t="s">
        <v>13</v>
      </c>
      <c r="F146" s="12" t="s">
        <v>13</v>
      </c>
      <c r="G146" s="12" t="s">
        <v>13</v>
      </c>
      <c r="H146" s="12" t="s">
        <v>13</v>
      </c>
      <c r="I146" s="12" t="s">
        <v>39</v>
      </c>
      <c r="J146" s="12">
        <v>5</v>
      </c>
      <c r="K146" s="26">
        <v>1.39</v>
      </c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25">
        <v>2.48</v>
      </c>
    </row>
    <row r="148" spans="1:11">
      <c r="A148" s="12" t="s">
        <v>129</v>
      </c>
      <c r="B148" s="12" t="s">
        <v>93</v>
      </c>
      <c r="C148" s="12" t="s">
        <v>93</v>
      </c>
      <c r="D148" s="12" t="s">
        <v>13</v>
      </c>
      <c r="E148" s="12" t="s">
        <v>46</v>
      </c>
      <c r="F148" s="12" t="s">
        <v>13</v>
      </c>
      <c r="G148" s="12" t="s">
        <v>13</v>
      </c>
      <c r="H148" s="12" t="s">
        <v>39</v>
      </c>
      <c r="I148" s="12" t="s">
        <v>64</v>
      </c>
      <c r="J148" s="12">
        <v>3</v>
      </c>
      <c r="K148" s="26">
        <v>3.3</v>
      </c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25">
        <v>2.57</v>
      </c>
    </row>
    <row r="150" spans="1:11">
      <c r="A150" s="12" t="s">
        <v>131</v>
      </c>
      <c r="B150" s="12" t="s">
        <v>95</v>
      </c>
      <c r="C150" s="12" t="s">
        <v>95</v>
      </c>
      <c r="D150" s="12" t="s">
        <v>46</v>
      </c>
      <c r="E150" s="12" t="s">
        <v>46</v>
      </c>
      <c r="F150" s="12" t="s">
        <v>39</v>
      </c>
      <c r="G150" s="12" t="s">
        <v>13</v>
      </c>
      <c r="H150" s="12" t="s">
        <v>73</v>
      </c>
      <c r="I150" s="12" t="s">
        <v>64</v>
      </c>
      <c r="J150" s="12">
        <v>1</v>
      </c>
      <c r="K150" s="26">
        <v>5.54</v>
      </c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25">
        <v>3.48</v>
      </c>
    </row>
    <row r="152" spans="1:11">
      <c r="A152" s="12" t="s">
        <v>133</v>
      </c>
      <c r="B152" s="12" t="s">
        <v>93</v>
      </c>
      <c r="C152" s="12" t="s">
        <v>95</v>
      </c>
      <c r="D152" s="12" t="s">
        <v>53</v>
      </c>
      <c r="E152" s="12" t="s">
        <v>39</v>
      </c>
      <c r="F152" s="12" t="s">
        <v>102</v>
      </c>
      <c r="G152" s="12" t="s">
        <v>92</v>
      </c>
      <c r="H152" s="12" t="s">
        <v>64</v>
      </c>
      <c r="I152" s="12" t="s">
        <v>92</v>
      </c>
      <c r="J152" s="12">
        <v>0</v>
      </c>
      <c r="K152" s="26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25">
        <v>4.54</v>
      </c>
    </row>
    <row r="154" spans="1:11">
      <c r="A154" s="12" t="s">
        <v>135</v>
      </c>
      <c r="B154" s="12" t="s">
        <v>95</v>
      </c>
      <c r="C154" s="12" t="s">
        <v>92</v>
      </c>
      <c r="D154" s="12" t="s">
        <v>64</v>
      </c>
      <c r="E154" s="12" t="s">
        <v>39</v>
      </c>
      <c r="F154" s="12" t="s">
        <v>92</v>
      </c>
      <c r="G154" s="12" t="s">
        <v>53</v>
      </c>
      <c r="H154" s="12" t="s">
        <v>64</v>
      </c>
      <c r="I154" s="12" t="s">
        <v>64</v>
      </c>
      <c r="J154" s="12">
        <v>0</v>
      </c>
      <c r="K154" s="26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25">
        <v>2.3</v>
      </c>
    </row>
    <row r="156" spans="1:11">
      <c r="A156" s="12" t="s">
        <v>137</v>
      </c>
      <c r="B156" s="12" t="s">
        <v>102</v>
      </c>
      <c r="C156" s="12" t="s">
        <v>102</v>
      </c>
      <c r="D156" s="12" t="s">
        <v>13</v>
      </c>
      <c r="E156" s="12" t="s">
        <v>13</v>
      </c>
      <c r="F156" s="12" t="s">
        <v>13</v>
      </c>
      <c r="G156" s="12" t="s">
        <v>13</v>
      </c>
      <c r="H156" s="12" t="s">
        <v>13</v>
      </c>
      <c r="I156" s="12" t="s">
        <v>13</v>
      </c>
      <c r="J156" s="12">
        <v>6</v>
      </c>
      <c r="K156" s="26">
        <v>1.39</v>
      </c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5">
        <v>7.91</v>
      </c>
    </row>
    <row r="158" spans="1:11">
      <c r="A158" s="12" t="s">
        <v>139</v>
      </c>
      <c r="B158" s="12" t="s">
        <v>92</v>
      </c>
      <c r="C158" s="12" t="s">
        <v>64</v>
      </c>
      <c r="D158" s="12" t="s">
        <v>13</v>
      </c>
      <c r="E158" s="12" t="s">
        <v>13</v>
      </c>
      <c r="F158" s="12" t="s">
        <v>13</v>
      </c>
      <c r="G158" s="12" t="s">
        <v>13</v>
      </c>
      <c r="H158" s="12" t="s">
        <v>13</v>
      </c>
      <c r="I158" s="12" t="s">
        <v>46</v>
      </c>
      <c r="J158" s="12">
        <v>5</v>
      </c>
      <c r="K158" s="26">
        <v>1.39</v>
      </c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5">
        <v>6.54</v>
      </c>
    </row>
    <row r="160" spans="1:11">
      <c r="A160" s="12" t="s">
        <v>141</v>
      </c>
      <c r="B160" s="12" t="s">
        <v>39</v>
      </c>
      <c r="C160" s="12" t="s">
        <v>39</v>
      </c>
      <c r="D160" s="12" t="s">
        <v>13</v>
      </c>
      <c r="E160" s="12" t="s">
        <v>13</v>
      </c>
      <c r="F160" s="12" t="s">
        <v>13</v>
      </c>
      <c r="G160" s="12" t="s">
        <v>13</v>
      </c>
      <c r="H160" s="12" t="s">
        <v>13</v>
      </c>
      <c r="I160" s="12" t="s">
        <v>13</v>
      </c>
      <c r="J160" s="12">
        <v>6</v>
      </c>
      <c r="K160" s="26">
        <v>1.04</v>
      </c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5">
        <v>7.63</v>
      </c>
    </row>
    <row r="162" spans="1:11">
      <c r="A162" s="12" t="s">
        <v>143</v>
      </c>
      <c r="B162" s="12" t="s">
        <v>93</v>
      </c>
      <c r="C162" s="12" t="s">
        <v>95</v>
      </c>
      <c r="D162" s="12" t="s">
        <v>13</v>
      </c>
      <c r="E162" s="12" t="s">
        <v>46</v>
      </c>
      <c r="F162" s="12" t="s">
        <v>39</v>
      </c>
      <c r="G162" s="12" t="s">
        <v>13</v>
      </c>
      <c r="H162" s="12" t="s">
        <v>53</v>
      </c>
      <c r="I162" s="12" t="s">
        <v>92</v>
      </c>
      <c r="J162" s="12">
        <v>2</v>
      </c>
      <c r="K162" s="26">
        <v>4.57</v>
      </c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25">
        <v>4.3</v>
      </c>
    </row>
    <row r="164" spans="1:11">
      <c r="A164" s="12" t="s">
        <v>145</v>
      </c>
      <c r="B164" s="12" t="s">
        <v>92</v>
      </c>
      <c r="C164" s="12" t="s">
        <v>64</v>
      </c>
      <c r="D164" s="12" t="s">
        <v>13</v>
      </c>
      <c r="E164" s="12" t="s">
        <v>13</v>
      </c>
      <c r="F164" s="12" t="s">
        <v>46</v>
      </c>
      <c r="G164" s="12" t="s">
        <v>13</v>
      </c>
      <c r="H164" s="12" t="s">
        <v>13</v>
      </c>
      <c r="I164" s="12" t="s">
        <v>53</v>
      </c>
      <c r="J164" s="12">
        <v>4</v>
      </c>
      <c r="K164" s="26">
        <v>2.35</v>
      </c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5">
        <v>8.800000000000001</v>
      </c>
    </row>
    <row r="166" spans="1:11">
      <c r="A166" s="12" t="s">
        <v>147</v>
      </c>
      <c r="B166" s="12" t="s">
        <v>92</v>
      </c>
      <c r="C166" s="12" t="s">
        <v>102</v>
      </c>
      <c r="D166" s="12" t="s">
        <v>46</v>
      </c>
      <c r="E166" s="12" t="s">
        <v>46</v>
      </c>
      <c r="F166" s="12" t="s">
        <v>46</v>
      </c>
      <c r="G166" s="12" t="s">
        <v>13</v>
      </c>
      <c r="H166" s="12" t="s">
        <v>46</v>
      </c>
      <c r="I166" s="12" t="s">
        <v>102</v>
      </c>
      <c r="J166" s="12">
        <v>1</v>
      </c>
      <c r="K166" s="26">
        <v>5.02</v>
      </c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5">
        <v>6.87</v>
      </c>
    </row>
    <row r="168" spans="1:11">
      <c r="A168" s="12" t="s">
        <v>149</v>
      </c>
      <c r="B168" s="12" t="s">
        <v>93</v>
      </c>
      <c r="C168" s="12" t="s">
        <v>95</v>
      </c>
      <c r="D168" s="12" t="s">
        <v>53</v>
      </c>
      <c r="E168" s="12" t="s">
        <v>46</v>
      </c>
      <c r="F168" s="12" t="s">
        <v>46</v>
      </c>
      <c r="G168" s="12" t="s">
        <v>46</v>
      </c>
      <c r="H168" s="12" t="s">
        <v>39</v>
      </c>
      <c r="I168" s="12" t="s">
        <v>53</v>
      </c>
      <c r="J168" s="12">
        <v>0</v>
      </c>
      <c r="K168" s="26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25">
        <v>1.17</v>
      </c>
    </row>
    <row r="170" spans="1:11">
      <c r="A170" s="12" t="s">
        <v>151</v>
      </c>
      <c r="B170" s="12" t="s">
        <v>73</v>
      </c>
      <c r="C170" s="12" t="s">
        <v>39</v>
      </c>
      <c r="D170" s="12" t="s">
        <v>13</v>
      </c>
      <c r="E170" s="12" t="s">
        <v>13</v>
      </c>
      <c r="F170" s="12" t="s">
        <v>13</v>
      </c>
      <c r="G170" s="12" t="s">
        <v>13</v>
      </c>
      <c r="H170" s="12" t="s">
        <v>13</v>
      </c>
      <c r="I170" s="12" t="s">
        <v>73</v>
      </c>
      <c r="J170" s="12">
        <v>5</v>
      </c>
      <c r="K170" s="26">
        <v>1.09</v>
      </c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25">
        <v>2.41</v>
      </c>
    </row>
    <row r="172" spans="1:11">
      <c r="A172" s="12" t="s">
        <v>153</v>
      </c>
      <c r="B172" s="12" t="s">
        <v>93</v>
      </c>
      <c r="C172" s="12" t="s">
        <v>95</v>
      </c>
      <c r="D172" s="12" t="s">
        <v>13</v>
      </c>
      <c r="E172" s="12" t="s">
        <v>13</v>
      </c>
      <c r="F172" s="12" t="s">
        <v>13</v>
      </c>
      <c r="G172" s="12" t="s">
        <v>13</v>
      </c>
      <c r="H172" s="12" t="s">
        <v>46</v>
      </c>
      <c r="I172" s="12" t="s">
        <v>73</v>
      </c>
      <c r="J172" s="12">
        <v>4</v>
      </c>
      <c r="K172" s="26">
        <v>2.37</v>
      </c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25">
        <v>1.3</v>
      </c>
    </row>
    <row r="174" spans="1:11">
      <c r="A174" s="12" t="s">
        <v>155</v>
      </c>
      <c r="B174" s="12" t="s">
        <v>102</v>
      </c>
      <c r="C174" s="12" t="s">
        <v>64</v>
      </c>
      <c r="D174" s="12" t="s">
        <v>13</v>
      </c>
      <c r="E174" s="12" t="s">
        <v>13</v>
      </c>
      <c r="F174" s="12" t="s">
        <v>13</v>
      </c>
      <c r="G174" s="12" t="s">
        <v>13</v>
      </c>
      <c r="H174" s="12" t="s">
        <v>13</v>
      </c>
      <c r="I174" s="12" t="s">
        <v>53</v>
      </c>
      <c r="J174" s="12">
        <v>5</v>
      </c>
      <c r="K174" s="26">
        <v>1.35</v>
      </c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5">
        <v>6.93</v>
      </c>
    </row>
    <row r="176" spans="1:11">
      <c r="A176" s="12" t="s">
        <v>157</v>
      </c>
      <c r="B176" s="12" t="s">
        <v>95</v>
      </c>
      <c r="C176" s="12" t="s">
        <v>95</v>
      </c>
      <c r="D176" s="12" t="s">
        <v>64</v>
      </c>
      <c r="E176" s="12" t="s">
        <v>64</v>
      </c>
      <c r="F176" s="12" t="s">
        <v>64</v>
      </c>
      <c r="G176" s="12" t="s">
        <v>73</v>
      </c>
      <c r="H176" s="12" t="s">
        <v>102</v>
      </c>
      <c r="I176" s="12" t="s">
        <v>92</v>
      </c>
      <c r="J176" s="12">
        <v>0</v>
      </c>
      <c r="K176" s="26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25">
        <v>1.48</v>
      </c>
    </row>
    <row r="178" spans="1:11">
      <c r="A178" s="12" t="s">
        <v>159</v>
      </c>
      <c r="B178" s="12" t="s">
        <v>95</v>
      </c>
      <c r="C178" s="12" t="s">
        <v>95</v>
      </c>
      <c r="D178" s="12" t="s">
        <v>39</v>
      </c>
      <c r="E178" s="12" t="s">
        <v>39</v>
      </c>
      <c r="F178" s="12" t="s">
        <v>53</v>
      </c>
      <c r="G178" s="12" t="s">
        <v>46</v>
      </c>
      <c r="H178" s="12" t="s">
        <v>73</v>
      </c>
      <c r="I178" s="12" t="s">
        <v>64</v>
      </c>
      <c r="J178" s="12">
        <v>0</v>
      </c>
      <c r="K178" s="26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5">
        <v>6.3</v>
      </c>
    </row>
    <row r="180" spans="1:11">
      <c r="A180" s="12" t="s">
        <v>161</v>
      </c>
      <c r="B180" s="12" t="s">
        <v>102</v>
      </c>
      <c r="C180" s="12" t="s">
        <v>93</v>
      </c>
      <c r="D180" s="12" t="s">
        <v>46</v>
      </c>
      <c r="E180" s="12" t="s">
        <v>46</v>
      </c>
      <c r="F180" s="12" t="s">
        <v>46</v>
      </c>
      <c r="G180" s="12" t="s">
        <v>46</v>
      </c>
      <c r="H180" s="12" t="s">
        <v>73</v>
      </c>
      <c r="I180" s="12" t="s">
        <v>102</v>
      </c>
      <c r="J180" s="12">
        <v>0</v>
      </c>
      <c r="K180" s="26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25">
        <v>1.39</v>
      </c>
    </row>
    <row r="182" spans="1:11">
      <c r="A182" s="12" t="s">
        <v>163</v>
      </c>
      <c r="B182" s="12" t="s">
        <v>73</v>
      </c>
      <c r="C182" s="12" t="s">
        <v>73</v>
      </c>
      <c r="D182" s="12" t="s">
        <v>13</v>
      </c>
      <c r="E182" s="12" t="s">
        <v>13</v>
      </c>
      <c r="F182" s="12" t="s">
        <v>13</v>
      </c>
      <c r="G182" s="12" t="s">
        <v>13</v>
      </c>
      <c r="H182" s="12" t="s">
        <v>13</v>
      </c>
      <c r="I182" s="12" t="s">
        <v>13</v>
      </c>
      <c r="J182" s="12">
        <v>6</v>
      </c>
      <c r="K182" s="26">
        <v>1.13</v>
      </c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5">
        <v>6.5</v>
      </c>
    </row>
    <row r="184" spans="1:11">
      <c r="A184" s="12" t="s">
        <v>165</v>
      </c>
      <c r="B184" s="12" t="s">
        <v>39</v>
      </c>
      <c r="C184" s="12" t="s">
        <v>39</v>
      </c>
      <c r="D184" s="12" t="s">
        <v>13</v>
      </c>
      <c r="E184" s="12" t="s">
        <v>13</v>
      </c>
      <c r="F184" s="12" t="s">
        <v>13</v>
      </c>
      <c r="G184" s="12" t="s">
        <v>13</v>
      </c>
      <c r="H184" s="12" t="s">
        <v>13</v>
      </c>
      <c r="I184" s="12" t="s">
        <v>13</v>
      </c>
      <c r="J184" s="12">
        <v>6</v>
      </c>
      <c r="K184" s="26">
        <v>1.04</v>
      </c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5">
        <v>6.33</v>
      </c>
    </row>
    <row r="186" spans="1:11">
      <c r="A186" s="12" t="s">
        <v>167</v>
      </c>
      <c r="B186" s="12" t="s">
        <v>95</v>
      </c>
      <c r="C186" s="12" t="s">
        <v>95</v>
      </c>
      <c r="D186" s="12" t="s">
        <v>95</v>
      </c>
      <c r="E186" s="12" t="s">
        <v>64</v>
      </c>
      <c r="F186" s="12" t="s">
        <v>92</v>
      </c>
      <c r="G186" s="12" t="s">
        <v>53</v>
      </c>
      <c r="H186" s="12" t="s">
        <v>102</v>
      </c>
      <c r="I186" s="12" t="s">
        <v>92</v>
      </c>
      <c r="J186" s="12">
        <v>0</v>
      </c>
      <c r="K186" s="26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25">
        <v>2.48</v>
      </c>
    </row>
    <row r="188" spans="1:11">
      <c r="A188" s="12" t="s">
        <v>169</v>
      </c>
      <c r="B188" s="12" t="s">
        <v>93</v>
      </c>
      <c r="C188" s="12" t="s">
        <v>92</v>
      </c>
      <c r="D188" s="12" t="s">
        <v>13</v>
      </c>
      <c r="E188" s="12" t="s">
        <v>13</v>
      </c>
      <c r="F188" s="12" t="s">
        <v>13</v>
      </c>
      <c r="G188" s="12" t="s">
        <v>13</v>
      </c>
      <c r="H188" s="12" t="s">
        <v>13</v>
      </c>
      <c r="I188" s="12" t="s">
        <v>73</v>
      </c>
      <c r="J188" s="12">
        <v>5</v>
      </c>
      <c r="K188" s="26">
        <v>1.52</v>
      </c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25">
        <v>1.35</v>
      </c>
    </row>
    <row r="190" spans="1:11">
      <c r="A190" s="12" t="s">
        <v>171</v>
      </c>
      <c r="B190" s="12" t="s">
        <v>92</v>
      </c>
      <c r="C190" s="12" t="s">
        <v>102</v>
      </c>
      <c r="D190" s="12" t="s">
        <v>13</v>
      </c>
      <c r="E190" s="12" t="s">
        <v>13</v>
      </c>
      <c r="F190" s="12" t="s">
        <v>16</v>
      </c>
      <c r="G190" s="12" t="s">
        <v>13</v>
      </c>
      <c r="H190" s="12" t="s">
        <v>13</v>
      </c>
      <c r="I190" s="12" t="s">
        <v>16</v>
      </c>
      <c r="J190" s="12">
        <v>6</v>
      </c>
      <c r="K190" s="26">
        <v>1.43</v>
      </c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5">
        <v>8.869999999999999</v>
      </c>
    </row>
    <row r="192" spans="1:11">
      <c r="A192" s="12" t="s">
        <v>173</v>
      </c>
      <c r="B192" s="12" t="s">
        <v>95</v>
      </c>
      <c r="C192" s="12" t="s">
        <v>93</v>
      </c>
      <c r="D192" s="12" t="s">
        <v>13</v>
      </c>
      <c r="E192" s="12" t="s">
        <v>13</v>
      </c>
      <c r="F192" s="12" t="s">
        <v>46</v>
      </c>
      <c r="G192" s="12" t="s">
        <v>13</v>
      </c>
      <c r="H192" s="12" t="s">
        <v>46</v>
      </c>
      <c r="I192" s="12" t="s">
        <v>64</v>
      </c>
      <c r="J192" s="12">
        <v>3</v>
      </c>
      <c r="K192" s="26">
        <v>3.33</v>
      </c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5">
        <v>6.46</v>
      </c>
    </row>
    <row r="194" spans="1:11">
      <c r="A194" s="12" t="s">
        <v>175</v>
      </c>
      <c r="B194" s="12" t="s">
        <v>16</v>
      </c>
      <c r="C194" s="12" t="s">
        <v>39</v>
      </c>
      <c r="D194" s="12" t="s">
        <v>13</v>
      </c>
      <c r="E194" s="12" t="s">
        <v>13</v>
      </c>
      <c r="F194" s="12" t="s">
        <v>13</v>
      </c>
      <c r="G194" s="12" t="s">
        <v>13</v>
      </c>
      <c r="H194" s="12" t="s">
        <v>13</v>
      </c>
      <c r="I194" s="12" t="s">
        <v>13</v>
      </c>
      <c r="J194" s="12">
        <v>7</v>
      </c>
      <c r="K194" s="26">
        <v>0.52</v>
      </c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25">
        <v>4.76</v>
      </c>
    </row>
    <row r="196" spans="1:11">
      <c r="A196" s="12" t="s">
        <v>177</v>
      </c>
      <c r="B196" s="12" t="s">
        <v>93</v>
      </c>
      <c r="C196" s="12" t="s">
        <v>102</v>
      </c>
      <c r="D196" s="12" t="s">
        <v>13</v>
      </c>
      <c r="E196" s="12" t="s">
        <v>46</v>
      </c>
      <c r="F196" s="12" t="s">
        <v>13</v>
      </c>
      <c r="G196" s="12" t="s">
        <v>13</v>
      </c>
      <c r="H196" s="12" t="s">
        <v>39</v>
      </c>
      <c r="I196" s="12" t="s">
        <v>64</v>
      </c>
      <c r="J196" s="12">
        <v>3</v>
      </c>
      <c r="K196" s="26">
        <v>3.22</v>
      </c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5">
        <v>7.48</v>
      </c>
    </row>
    <row r="198" spans="1:11">
      <c r="A198" s="12" t="s">
        <v>179</v>
      </c>
      <c r="B198" s="12" t="s">
        <v>95</v>
      </c>
      <c r="C198" s="12" t="s">
        <v>92</v>
      </c>
      <c r="D198" s="12" t="s">
        <v>13</v>
      </c>
      <c r="E198" s="12" t="s">
        <v>13</v>
      </c>
      <c r="F198" s="12" t="s">
        <v>13</v>
      </c>
      <c r="G198" s="12" t="s">
        <v>13</v>
      </c>
      <c r="H198" s="12" t="s">
        <v>13</v>
      </c>
      <c r="I198" s="12" t="s">
        <v>73</v>
      </c>
      <c r="J198" s="12">
        <v>5</v>
      </c>
      <c r="K198" s="26">
        <v>1.61</v>
      </c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5">
        <v>7.24</v>
      </c>
    </row>
    <row r="200" spans="1:11">
      <c r="A200" s="12" t="s">
        <v>181</v>
      </c>
      <c r="B200" s="12" t="s">
        <v>64</v>
      </c>
      <c r="C200" s="12" t="s">
        <v>39</v>
      </c>
      <c r="D200" s="12" t="s">
        <v>13</v>
      </c>
      <c r="E200" s="12" t="s">
        <v>13</v>
      </c>
      <c r="F200" s="12" t="s">
        <v>13</v>
      </c>
      <c r="G200" s="12" t="s">
        <v>13</v>
      </c>
      <c r="H200" s="12" t="s">
        <v>13</v>
      </c>
      <c r="I200" s="12" t="s">
        <v>73</v>
      </c>
      <c r="J200" s="12">
        <v>5</v>
      </c>
      <c r="K200" s="26">
        <v>1.17</v>
      </c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25">
        <v>3.65</v>
      </c>
    </row>
    <row r="202" spans="1:11">
      <c r="A202" s="12" t="s">
        <v>183</v>
      </c>
      <c r="B202" s="12" t="s">
        <v>93</v>
      </c>
      <c r="C202" s="12" t="s">
        <v>92</v>
      </c>
      <c r="D202" s="12" t="s">
        <v>13</v>
      </c>
      <c r="E202" s="12" t="s">
        <v>46</v>
      </c>
      <c r="F202" s="12" t="s">
        <v>13</v>
      </c>
      <c r="G202" s="12" t="s">
        <v>13</v>
      </c>
      <c r="H202" s="12" t="s">
        <v>13</v>
      </c>
      <c r="I202" s="12" t="s">
        <v>53</v>
      </c>
      <c r="J202" s="12">
        <v>4</v>
      </c>
      <c r="K202" s="26">
        <v>2.48</v>
      </c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25">
        <v>1.17</v>
      </c>
    </row>
    <row r="204" spans="1:11">
      <c r="A204" s="12" t="s">
        <v>185</v>
      </c>
      <c r="B204" s="12" t="s">
        <v>95</v>
      </c>
      <c r="C204" s="12" t="s">
        <v>39</v>
      </c>
      <c r="D204" s="12" t="s">
        <v>73</v>
      </c>
      <c r="E204" s="12" t="s">
        <v>13</v>
      </c>
      <c r="F204" s="12" t="s">
        <v>13</v>
      </c>
      <c r="G204" s="12" t="s">
        <v>13</v>
      </c>
      <c r="H204" s="12" t="s">
        <v>53</v>
      </c>
      <c r="I204" s="12" t="s">
        <v>102</v>
      </c>
      <c r="J204" s="12">
        <v>3</v>
      </c>
      <c r="K204" s="26">
        <v>3.43</v>
      </c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5">
        <v>6.15</v>
      </c>
    </row>
    <row r="206" spans="1:11">
      <c r="A206" s="12" t="s">
        <v>187</v>
      </c>
      <c r="B206" s="12" t="s">
        <v>95</v>
      </c>
      <c r="C206" s="12" t="s">
        <v>92</v>
      </c>
      <c r="D206" s="12" t="s">
        <v>13</v>
      </c>
      <c r="E206" s="12" t="s">
        <v>13</v>
      </c>
      <c r="F206" s="12" t="s">
        <v>13</v>
      </c>
      <c r="G206" s="12" t="s">
        <v>13</v>
      </c>
      <c r="H206" s="12" t="s">
        <v>13</v>
      </c>
      <c r="I206" s="12" t="s">
        <v>73</v>
      </c>
      <c r="J206" s="12">
        <v>5</v>
      </c>
      <c r="K206" s="26">
        <v>1.61</v>
      </c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25">
        <v>2.13</v>
      </c>
    </row>
    <row r="208" spans="1:11">
      <c r="A208" s="12" t="s">
        <v>189</v>
      </c>
      <c r="B208" s="12" t="s">
        <v>95</v>
      </c>
      <c r="C208" s="12" t="s">
        <v>64</v>
      </c>
      <c r="D208" s="12" t="s">
        <v>64</v>
      </c>
      <c r="E208" s="12" t="s">
        <v>46</v>
      </c>
      <c r="F208" s="12" t="s">
        <v>73</v>
      </c>
      <c r="G208" s="12" t="s">
        <v>46</v>
      </c>
      <c r="H208" s="12" t="s">
        <v>53</v>
      </c>
      <c r="I208" s="12" t="s">
        <v>92</v>
      </c>
      <c r="J208" s="12">
        <v>0</v>
      </c>
      <c r="K208" s="26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25">
        <v>1.26</v>
      </c>
    </row>
    <row r="210" spans="1:19">
      <c r="A210" s="12" t="s">
        <v>191</v>
      </c>
      <c r="B210" s="12" t="s">
        <v>92</v>
      </c>
      <c r="C210" s="12" t="s">
        <v>102</v>
      </c>
      <c r="D210" s="12" t="s">
        <v>13</v>
      </c>
      <c r="E210" s="12" t="s">
        <v>13</v>
      </c>
      <c r="F210" s="12" t="s">
        <v>13</v>
      </c>
      <c r="G210" s="12" t="s">
        <v>13</v>
      </c>
      <c r="H210" s="12" t="s">
        <v>13</v>
      </c>
      <c r="I210" s="12" t="s">
        <v>39</v>
      </c>
      <c r="J210" s="12">
        <v>5</v>
      </c>
      <c r="K210" s="26">
        <v>1.43</v>
      </c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25">
        <v>1.65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7">
        <v>35.78947368421053</v>
      </c>
      <c r="F218" s="27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8">
        <v>98.94736842105263</v>
      </c>
      <c r="D224" s="28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2" t="s">
        <v>96</v>
      </c>
      <c r="B225" s="12" t="s">
        <v>97</v>
      </c>
      <c r="C225" s="29">
        <v>100</v>
      </c>
      <c r="D225" s="29">
        <v>0</v>
      </c>
      <c r="E225" s="12">
        <v>95</v>
      </c>
      <c r="F225" s="12">
        <v>0</v>
      </c>
      <c r="G225" s="12">
        <v>32</v>
      </c>
      <c r="H225" s="12">
        <v>9</v>
      </c>
      <c r="I225" s="12">
        <v>14</v>
      </c>
      <c r="J225" s="12">
        <v>9</v>
      </c>
      <c r="K225" s="12">
        <v>10</v>
      </c>
      <c r="L225" s="12">
        <v>8</v>
      </c>
      <c r="M225" s="12">
        <v>3</v>
      </c>
      <c r="N225" s="12">
        <v>10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</row>
    <row r="226" spans="1:19">
      <c r="A226" s="7" t="s">
        <v>11</v>
      </c>
      <c r="B226" s="7" t="s">
        <v>12</v>
      </c>
      <c r="C226" s="28">
        <v>45.26315789473684</v>
      </c>
      <c r="D226" s="28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2" t="s">
        <v>17</v>
      </c>
      <c r="B227" s="12" t="s">
        <v>18</v>
      </c>
      <c r="C227" s="29">
        <v>47.36842105263158</v>
      </c>
      <c r="D227" s="29">
        <v>52.63157894736842</v>
      </c>
      <c r="E227" s="12">
        <v>45</v>
      </c>
      <c r="F227" s="12">
        <v>50</v>
      </c>
      <c r="G227" s="12">
        <v>0</v>
      </c>
      <c r="H227" s="12">
        <v>1</v>
      </c>
      <c r="I227" s="12">
        <v>0</v>
      </c>
      <c r="J227" s="12">
        <v>1</v>
      </c>
      <c r="K227" s="12">
        <v>8</v>
      </c>
      <c r="L227" s="12">
        <v>1</v>
      </c>
      <c r="M227" s="12">
        <v>0</v>
      </c>
      <c r="N227" s="12">
        <v>8</v>
      </c>
      <c r="O227" s="12">
        <v>26</v>
      </c>
      <c r="P227" s="12">
        <v>49</v>
      </c>
      <c r="Q227" s="12">
        <v>0</v>
      </c>
      <c r="R227" s="12">
        <v>1</v>
      </c>
      <c r="S227" s="12">
        <v>0</v>
      </c>
    </row>
    <row r="228" spans="1:19">
      <c r="A228" s="7" t="s">
        <v>19</v>
      </c>
      <c r="B228" s="7" t="s">
        <v>20</v>
      </c>
      <c r="C228" s="28">
        <v>50.52631578947368</v>
      </c>
      <c r="D228" s="28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2" t="s">
        <v>21</v>
      </c>
      <c r="B229" s="12" t="s">
        <v>21</v>
      </c>
      <c r="C229" s="29">
        <v>36.84210526315789</v>
      </c>
      <c r="D229" s="29">
        <v>63.15789473684211</v>
      </c>
      <c r="E229" s="12">
        <v>35</v>
      </c>
      <c r="F229" s="12">
        <v>60</v>
      </c>
      <c r="G229" s="12">
        <v>0</v>
      </c>
      <c r="H229" s="12">
        <v>0</v>
      </c>
      <c r="I229" s="12">
        <v>3</v>
      </c>
      <c r="J229" s="12">
        <v>0</v>
      </c>
      <c r="K229" s="12">
        <v>0</v>
      </c>
      <c r="L229" s="12">
        <v>3</v>
      </c>
      <c r="M229" s="12">
        <v>6</v>
      </c>
      <c r="N229" s="12">
        <v>6</v>
      </c>
      <c r="O229" s="12">
        <v>17</v>
      </c>
      <c r="P229" s="12">
        <v>56</v>
      </c>
      <c r="Q229" s="12">
        <v>0</v>
      </c>
      <c r="R229" s="12">
        <v>4</v>
      </c>
      <c r="S229" s="12">
        <v>0</v>
      </c>
    </row>
    <row r="230" spans="1:19">
      <c r="A230" s="7" t="s">
        <v>25</v>
      </c>
      <c r="B230" s="7" t="s">
        <v>26</v>
      </c>
      <c r="C230" s="28">
        <v>56.84210526315789</v>
      </c>
      <c r="D230" s="28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2" t="s">
        <v>28</v>
      </c>
      <c r="B231" s="12" t="s">
        <v>29</v>
      </c>
      <c r="C231" s="29">
        <v>83.15789473684211</v>
      </c>
      <c r="D231" s="29">
        <v>16.84210526315789</v>
      </c>
      <c r="E231" s="12">
        <v>79</v>
      </c>
      <c r="F231" s="12">
        <v>16</v>
      </c>
      <c r="G231" s="12">
        <v>0</v>
      </c>
      <c r="H231" s="12">
        <v>3</v>
      </c>
      <c r="I231" s="12">
        <v>15</v>
      </c>
      <c r="J231" s="12">
        <v>10</v>
      </c>
      <c r="K231" s="12">
        <v>18</v>
      </c>
      <c r="L231" s="12">
        <v>10</v>
      </c>
      <c r="M231" s="12">
        <v>13</v>
      </c>
      <c r="N231" s="12">
        <v>5</v>
      </c>
      <c r="O231" s="12">
        <v>5</v>
      </c>
      <c r="P231" s="12">
        <v>14</v>
      </c>
      <c r="Q231" s="12">
        <v>0</v>
      </c>
      <c r="R231" s="12">
        <v>2</v>
      </c>
      <c r="S231" s="12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A117:K211">
    <cfRule type="containsText" dxfId="1" priority="41" operator="containsText" text="F">
      <formula>NOT(ISERROR(SEARCH("F",A117)))</formula>
    </cfRule>
    <cfRule type="containsText" dxfId="1" priority="42" operator="containsText" text="FE">
      <formula>NOT(ISERROR(SEARCH("FE",A117)))</formula>
    </cfRule>
    <cfRule type="containsText" dxfId="1" priority="43" operator="containsText" text="ABSENT">
      <formula>NOT(ISERROR(SEARCH("ABSENT",A117)))</formula>
    </cfRule>
    <cfRule type="containsText" dxfId="1" priority="44" operator="containsText" text="AB">
      <formula>NOT(ISERROR(SEARCH("AB",A117)))</formula>
    </cfRule>
    <cfRule type="containsText" dxfId="1" priority="45" operator="containsText" text="WITHHELD">
      <formula>NOT(ISERROR(SEARCH("WITHHELD",A117)))</formula>
    </cfRule>
    <cfRule type="containsText" dxfId="1" priority="46" operator="containsText" text="I">
      <formula>NOT(ISERROR(SEARCH("I",A117)))</formula>
    </cfRule>
  </conditionalFormatting>
  <conditionalFormatting sqref="A36:G39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6:G53">
    <cfRule type="containsText" dxfId="1" priority="11" operator="containsText" text="F">
      <formula>NOT(ISERROR(SEARCH("F",A46)))</formula>
    </cfRule>
    <cfRule type="containsText" dxfId="1" priority="12" operator="containsText" text="FE">
      <formula>NOT(ISERROR(SEARCH("FE",A46)))</formula>
    </cfRule>
    <cfRule type="containsText" dxfId="1" priority="13" operator="containsText" text="ABSENT">
      <formula>NOT(ISERROR(SEARCH("ABSENT",A46)))</formula>
    </cfRule>
    <cfRule type="containsText" dxfId="1" priority="14" operator="containsText" text="AB">
      <formula>NOT(ISERROR(SEARCH("AB",A46)))</formula>
    </cfRule>
    <cfRule type="containsText" dxfId="1" priority="15" operator="containsText" text="WITHHELD">
      <formula>NOT(ISERROR(SEARCH("WITHHELD",A46)))</formula>
    </cfRule>
    <cfRule type="containsText" dxfId="1" priority="16" operator="containsText" text="I">
      <formula>NOT(ISERROR(SEARCH("I",A46)))</formula>
    </cfRule>
  </conditionalFormatting>
  <conditionalFormatting sqref="A60:G65">
    <cfRule type="containsText" dxfId="1" priority="21" operator="containsText" text="F">
      <formula>NOT(ISERROR(SEARCH("F",A60)))</formula>
    </cfRule>
    <cfRule type="containsText" dxfId="1" priority="22" operator="containsText" text="FE">
      <formula>NOT(ISERROR(SEARCH("FE",A60)))</formula>
    </cfRule>
    <cfRule type="containsText" dxfId="1" priority="23" operator="containsText" text="ABSENT">
      <formula>NOT(ISERROR(SEARCH("ABSENT",A60)))</formula>
    </cfRule>
    <cfRule type="containsText" dxfId="1" priority="24" operator="containsText" text="AB">
      <formula>NOT(ISERROR(SEARCH("AB",A60)))</formula>
    </cfRule>
    <cfRule type="containsText" dxfId="1" priority="25" operator="containsText" text="WITHHELD">
      <formula>NOT(ISERROR(SEARCH("WITHHELD",A60)))</formula>
    </cfRule>
    <cfRule type="containsText" dxfId="1" priority="26" operator="containsText" text="I">
      <formula>NOT(ISERROR(SEARCH("I",A60)))</formula>
    </cfRule>
  </conditionalFormatting>
  <conditionalFormatting sqref="A72:J110">
    <cfRule type="containsText" dxfId="1" priority="31" operator="containsText" text="F">
      <formula>NOT(ISERROR(SEARCH("F",A72)))</formula>
    </cfRule>
    <cfRule type="containsText" dxfId="1" priority="32" operator="containsText" text="FE">
      <formula>NOT(ISERROR(SEARCH("FE",A72)))</formula>
    </cfRule>
    <cfRule type="containsText" dxfId="1" priority="33" operator="containsText" text="ABSENT">
      <formula>NOT(ISERROR(SEARCH("ABSENT",A72)))</formula>
    </cfRule>
    <cfRule type="containsText" dxfId="1" priority="34" operator="containsText" text="AB">
      <formula>NOT(ISERROR(SEARCH("AB",A72)))</formula>
    </cfRule>
    <cfRule type="containsText" dxfId="1" priority="35" operator="containsText" text="WITHHELD">
      <formula>NOT(ISERROR(SEARCH("WITHHELD",A72)))</formula>
    </cfRule>
    <cfRule type="containsText" dxfId="1" priority="36" operator="containsText" text="I">
      <formula>NOT(ISERROR(SEARCH("I",A72)))</formula>
    </cfRule>
  </conditionalFormatting>
  <conditionalFormatting sqref="C224:C231">
    <cfRule type="cellIs" dxfId="6" priority="52" operator="lessThan">
      <formula>40</formula>
    </cfRule>
  </conditionalFormatting>
  <conditionalFormatting sqref="E218">
    <cfRule type="cellIs" dxfId="6" priority="51" operator="lessThan">
      <formula>40</formula>
    </cfRule>
  </conditionalFormatting>
  <conditionalFormatting sqref="G36:G39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G46:G53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G60:G65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J72:J110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conditionalFormatting sqref="K117:K211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535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IFERROR(VLOOKUP("EC_" &amp; UPPER($B$8), _DATA_!$A$2:$AZ$62, 2, FALSE), 0)</f>
        <v>0</v>
      </c>
      <c r="B13" s="21"/>
      <c r="C13" s="21"/>
      <c r="D13" s="21"/>
      <c r="E13" s="22">
        <f>IFERROR(VLOOKUP("EC_" &amp; UPPER($B$8), _DATA_!$A$2:$AZ$62, 3, FALSE), 0)</f>
        <v>0</v>
      </c>
      <c r="F13" s="22"/>
      <c r="G13" s="22"/>
      <c r="H13" s="22"/>
      <c r="I13" s="23">
        <f>IFERROR(VLOOKUP("EC_" &amp; UPPER($B$8), _DATA_!$A$2:$AZ$62, 4, FALSE), 0)</f>
        <v>0</v>
      </c>
      <c r="J13" s="23"/>
      <c r="K13" s="23"/>
      <c r="L13" s="24">
        <f>IFERROR(VLOOKUP("EC_" &amp; UPPER($B$8), _DATA_!$A$2:$AZ$62, 5, FALSE), 0)</f>
        <v>0</v>
      </c>
      <c r="M13" s="24"/>
      <c r="N13" s="24"/>
      <c r="O13" s="24">
        <f>IFERROR(VLOOKUP("EC_"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25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5">
        <v>5.5</v>
      </c>
    </row>
    <row r="44" spans="1:5">
      <c r="A44" s="12" t="s">
        <v>206</v>
      </c>
      <c r="B44" s="12" t="s">
        <v>39</v>
      </c>
      <c r="C44" s="12" t="s">
        <v>425</v>
      </c>
      <c r="D44" s="12">
        <v>0</v>
      </c>
      <c r="E44" s="26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5">
        <v>5.5</v>
      </c>
    </row>
    <row r="46" spans="1:5">
      <c r="A46" s="12" t="s">
        <v>209</v>
      </c>
      <c r="B46" s="12" t="s">
        <v>425</v>
      </c>
      <c r="C46" s="12" t="s">
        <v>46</v>
      </c>
      <c r="D46" s="12">
        <v>0</v>
      </c>
      <c r="E46" s="26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25">
        <v>0</v>
      </c>
    </row>
    <row r="54" spans="1:11">
      <c r="A54" s="12" t="s">
        <v>213</v>
      </c>
      <c r="B54" s="12" t="s">
        <v>73</v>
      </c>
      <c r="C54" s="12" t="s">
        <v>13</v>
      </c>
      <c r="D54" s="12" t="s">
        <v>13</v>
      </c>
      <c r="E54" s="12" t="s">
        <v>13</v>
      </c>
      <c r="F54" s="12" t="s">
        <v>13</v>
      </c>
      <c r="G54" s="12" t="s">
        <v>13</v>
      </c>
      <c r="H54" s="12" t="s">
        <v>13</v>
      </c>
      <c r="I54" s="12">
        <v>6</v>
      </c>
      <c r="J54" s="26">
        <v>0.62</v>
      </c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25">
        <v>0</v>
      </c>
    </row>
    <row r="56" spans="1:11">
      <c r="A56" s="12" t="s">
        <v>216</v>
      </c>
      <c r="B56" s="12" t="s">
        <v>425</v>
      </c>
      <c r="C56" s="12" t="s">
        <v>425</v>
      </c>
      <c r="D56" s="12" t="s">
        <v>425</v>
      </c>
      <c r="E56" s="12" t="s">
        <v>425</v>
      </c>
      <c r="F56" s="12" t="s">
        <v>46</v>
      </c>
      <c r="G56" s="12" t="s">
        <v>425</v>
      </c>
      <c r="H56" s="12" t="s">
        <v>425</v>
      </c>
      <c r="I56" s="12">
        <v>0</v>
      </c>
      <c r="J56" s="26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25">
        <v>0</v>
      </c>
    </row>
    <row r="58" spans="1:11">
      <c r="A58" s="12" t="s">
        <v>233</v>
      </c>
      <c r="B58" s="12" t="s">
        <v>425</v>
      </c>
      <c r="C58" s="12" t="s">
        <v>13</v>
      </c>
      <c r="D58" s="12" t="s">
        <v>13</v>
      </c>
      <c r="E58" s="12" t="s">
        <v>13</v>
      </c>
      <c r="F58" s="12" t="s">
        <v>13</v>
      </c>
      <c r="G58" s="12" t="s">
        <v>425</v>
      </c>
      <c r="H58" s="12" t="s">
        <v>39</v>
      </c>
      <c r="I58" s="12">
        <v>4</v>
      </c>
      <c r="J58" s="26">
        <v>0</v>
      </c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25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5">
        <v>6.54</v>
      </c>
    </row>
    <row r="67" spans="1:11">
      <c r="A67" s="12" t="s">
        <v>220</v>
      </c>
      <c r="B67" s="12" t="s">
        <v>102</v>
      </c>
      <c r="C67" s="12" t="s">
        <v>64</v>
      </c>
      <c r="D67" s="12" t="s">
        <v>13</v>
      </c>
      <c r="E67" s="12" t="s">
        <v>39</v>
      </c>
      <c r="F67" s="12" t="s">
        <v>73</v>
      </c>
      <c r="G67" s="12" t="s">
        <v>13</v>
      </c>
      <c r="H67" s="12" t="s">
        <v>13</v>
      </c>
      <c r="I67" s="12" t="s">
        <v>64</v>
      </c>
      <c r="J67" s="12">
        <v>3</v>
      </c>
      <c r="K67" s="26">
        <v>3.52</v>
      </c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25">
        <v>4.33</v>
      </c>
    </row>
    <row r="69" spans="1:11">
      <c r="A69" s="12" t="s">
        <v>222</v>
      </c>
      <c r="B69" s="12" t="s">
        <v>73</v>
      </c>
      <c r="C69" s="12" t="s">
        <v>102</v>
      </c>
      <c r="D69" s="12" t="s">
        <v>13</v>
      </c>
      <c r="E69" s="12" t="s">
        <v>13</v>
      </c>
      <c r="F69" s="12" t="s">
        <v>13</v>
      </c>
      <c r="G69" s="12" t="s">
        <v>13</v>
      </c>
      <c r="H69" s="12" t="s">
        <v>13</v>
      </c>
      <c r="I69" s="12" t="s">
        <v>39</v>
      </c>
      <c r="J69" s="12">
        <v>5</v>
      </c>
      <c r="K69" s="26">
        <v>1.26</v>
      </c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25">
        <v>0</v>
      </c>
    </row>
    <row r="71" spans="1:11">
      <c r="A71" s="12" t="s">
        <v>225</v>
      </c>
      <c r="B71" s="12" t="s">
        <v>92</v>
      </c>
      <c r="C71" s="12" t="s">
        <v>95</v>
      </c>
      <c r="D71" s="12" t="s">
        <v>64</v>
      </c>
      <c r="E71" s="12" t="s">
        <v>73</v>
      </c>
      <c r="F71" s="12" t="s">
        <v>64</v>
      </c>
      <c r="G71" s="12" t="s">
        <v>46</v>
      </c>
      <c r="H71" s="12" t="s">
        <v>53</v>
      </c>
      <c r="I71" s="12" t="s">
        <v>93</v>
      </c>
      <c r="J71" s="12">
        <v>0</v>
      </c>
      <c r="K71" s="26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5">
        <v>7.87</v>
      </c>
    </row>
    <row r="73" spans="1:11">
      <c r="A73" s="12" t="s">
        <v>227</v>
      </c>
      <c r="B73" s="12" t="s">
        <v>53</v>
      </c>
      <c r="C73" s="12" t="s">
        <v>39</v>
      </c>
      <c r="D73" s="12" t="s">
        <v>13</v>
      </c>
      <c r="E73" s="12" t="s">
        <v>13</v>
      </c>
      <c r="F73" s="12" t="s">
        <v>13</v>
      </c>
      <c r="G73" s="12" t="s">
        <v>13</v>
      </c>
      <c r="H73" s="12" t="s">
        <v>13</v>
      </c>
      <c r="I73" s="12" t="s">
        <v>13</v>
      </c>
      <c r="J73" s="12">
        <v>6</v>
      </c>
      <c r="K73" s="26">
        <v>1.13</v>
      </c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5">
        <v>1.3</v>
      </c>
    </row>
    <row r="75" spans="1:11">
      <c r="A75" s="12" t="s">
        <v>229</v>
      </c>
      <c r="B75" s="12" t="s">
        <v>95</v>
      </c>
      <c r="C75" s="12" t="s">
        <v>95</v>
      </c>
      <c r="D75" s="12" t="s">
        <v>13</v>
      </c>
      <c r="E75" s="12" t="s">
        <v>13</v>
      </c>
      <c r="F75" s="12" t="s">
        <v>46</v>
      </c>
      <c r="G75" s="12" t="s">
        <v>13</v>
      </c>
      <c r="H75" s="12" t="s">
        <v>46</v>
      </c>
      <c r="I75" s="12" t="s">
        <v>53</v>
      </c>
      <c r="J75" s="12">
        <v>3</v>
      </c>
      <c r="K75" s="26">
        <v>3.41</v>
      </c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25">
        <v>4.28</v>
      </c>
    </row>
    <row r="77" spans="1:11">
      <c r="A77" s="12" t="s">
        <v>231</v>
      </c>
      <c r="B77" s="12" t="s">
        <v>92</v>
      </c>
      <c r="C77" s="12" t="s">
        <v>95</v>
      </c>
      <c r="D77" s="12" t="s">
        <v>73</v>
      </c>
      <c r="E77" s="12" t="s">
        <v>102</v>
      </c>
      <c r="F77" s="12" t="s">
        <v>93</v>
      </c>
      <c r="G77" s="12" t="s">
        <v>73</v>
      </c>
      <c r="H77" s="12" t="s">
        <v>92</v>
      </c>
      <c r="I77" s="12" t="s">
        <v>92</v>
      </c>
      <c r="J77" s="12">
        <v>0</v>
      </c>
      <c r="K77" s="26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25">
        <v>1.17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7">
        <v>30.76923076923077</v>
      </c>
      <c r="F85" s="27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8">
        <v>92.30769230769231</v>
      </c>
      <c r="D91" s="28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2" t="s">
        <v>214</v>
      </c>
      <c r="B92" s="12" t="s">
        <v>203</v>
      </c>
      <c r="C92" s="29">
        <v>92.30769230769231</v>
      </c>
      <c r="D92" s="29">
        <v>7.692307692307693</v>
      </c>
      <c r="E92" s="12">
        <v>12</v>
      </c>
      <c r="F92" s="12">
        <v>1</v>
      </c>
      <c r="G92" s="12">
        <v>4</v>
      </c>
      <c r="H92" s="12">
        <v>2</v>
      </c>
      <c r="I92" s="12">
        <v>0</v>
      </c>
      <c r="J92" s="12">
        <v>1</v>
      </c>
      <c r="K92" s="12">
        <v>3</v>
      </c>
      <c r="L92" s="12">
        <v>0</v>
      </c>
      <c r="M92" s="12">
        <v>1</v>
      </c>
      <c r="N92" s="12">
        <v>1</v>
      </c>
      <c r="O92" s="12">
        <v>0</v>
      </c>
      <c r="P92" s="12">
        <v>0</v>
      </c>
      <c r="Q92" s="12">
        <v>1</v>
      </c>
      <c r="R92" s="12">
        <v>0</v>
      </c>
      <c r="S92" s="12">
        <v>0</v>
      </c>
    </row>
    <row r="93" spans="1:19">
      <c r="A93" s="7" t="s">
        <v>211</v>
      </c>
      <c r="B93" s="7" t="s">
        <v>212</v>
      </c>
      <c r="C93" s="28">
        <v>30.76923076923077</v>
      </c>
      <c r="D93" s="28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2" t="s">
        <v>202</v>
      </c>
      <c r="B94" s="12" t="s">
        <v>203</v>
      </c>
      <c r="C94" s="29">
        <v>53.84615384615385</v>
      </c>
      <c r="D94" s="29">
        <v>46.15384615384615</v>
      </c>
      <c r="E94" s="12">
        <v>7</v>
      </c>
      <c r="F94" s="12">
        <v>6</v>
      </c>
      <c r="G94" s="12">
        <v>0</v>
      </c>
      <c r="H94" s="12">
        <v>0</v>
      </c>
      <c r="I94" s="12">
        <v>0</v>
      </c>
      <c r="J94" s="12">
        <v>2</v>
      </c>
      <c r="K94" s="12">
        <v>0</v>
      </c>
      <c r="L94" s="12">
        <v>0</v>
      </c>
      <c r="M94" s="12">
        <v>1</v>
      </c>
      <c r="N94" s="12">
        <v>1</v>
      </c>
      <c r="O94" s="12">
        <v>3</v>
      </c>
      <c r="P94" s="12">
        <v>5</v>
      </c>
      <c r="Q94" s="12">
        <v>1</v>
      </c>
      <c r="R94" s="12">
        <v>0</v>
      </c>
      <c r="S94" s="12">
        <v>0</v>
      </c>
    </row>
    <row r="95" spans="1:19">
      <c r="A95" s="7" t="s">
        <v>207</v>
      </c>
      <c r="B95" s="7" t="s">
        <v>207</v>
      </c>
      <c r="C95" s="28">
        <v>61.53846153846154</v>
      </c>
      <c r="D95" s="28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2" t="s">
        <v>204</v>
      </c>
      <c r="B96" s="12" t="s">
        <v>199</v>
      </c>
      <c r="C96" s="29">
        <v>30.76923076923077</v>
      </c>
      <c r="D96" s="29">
        <v>69.23076923076923</v>
      </c>
      <c r="E96" s="12">
        <v>4</v>
      </c>
      <c r="F96" s="12">
        <v>9</v>
      </c>
      <c r="G96" s="12">
        <v>0</v>
      </c>
      <c r="H96" s="12">
        <v>0</v>
      </c>
      <c r="I96" s="12">
        <v>0</v>
      </c>
      <c r="J96" s="12">
        <v>0</v>
      </c>
      <c r="K96" s="12">
        <v>1</v>
      </c>
      <c r="L96" s="12">
        <v>0</v>
      </c>
      <c r="M96" s="12">
        <v>1</v>
      </c>
      <c r="N96" s="12">
        <v>1</v>
      </c>
      <c r="O96" s="12">
        <v>1</v>
      </c>
      <c r="P96" s="12">
        <v>8</v>
      </c>
      <c r="Q96" s="12">
        <v>1</v>
      </c>
      <c r="R96" s="12">
        <v>0</v>
      </c>
      <c r="S96" s="12">
        <v>0</v>
      </c>
    </row>
    <row r="97" spans="1:19">
      <c r="A97" s="7" t="s">
        <v>50</v>
      </c>
      <c r="B97" s="7" t="s">
        <v>51</v>
      </c>
      <c r="C97" s="28">
        <v>53.84615384615385</v>
      </c>
      <c r="D97" s="28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2" t="s">
        <v>28</v>
      </c>
      <c r="B98" s="12" t="s">
        <v>29</v>
      </c>
      <c r="C98" s="29">
        <v>84.61538461538461</v>
      </c>
      <c r="D98" s="29">
        <v>15.38461538461539</v>
      </c>
      <c r="E98" s="12">
        <v>11</v>
      </c>
      <c r="F98" s="12">
        <v>2</v>
      </c>
      <c r="G98" s="12">
        <v>0</v>
      </c>
      <c r="H98" s="12">
        <v>3</v>
      </c>
      <c r="I98" s="12">
        <v>1</v>
      </c>
      <c r="J98" s="12">
        <v>0</v>
      </c>
      <c r="K98" s="12">
        <v>1</v>
      </c>
      <c r="L98" s="12">
        <v>2</v>
      </c>
      <c r="M98" s="12">
        <v>2</v>
      </c>
      <c r="N98" s="12">
        <v>2</v>
      </c>
      <c r="O98" s="12">
        <v>0</v>
      </c>
      <c r="P98" s="12">
        <v>1</v>
      </c>
      <c r="Q98" s="12">
        <v>1</v>
      </c>
      <c r="R98" s="12">
        <v>0</v>
      </c>
      <c r="S98" s="12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A36:E36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3:E46">
    <cfRule type="containsText" dxfId="1" priority="11" operator="containsText" text="F">
      <formula>NOT(ISERROR(SEARCH("F",A43)))</formula>
    </cfRule>
    <cfRule type="containsText" dxfId="1" priority="12" operator="containsText" text="FE">
      <formula>NOT(ISERROR(SEARCH("FE",A43)))</formula>
    </cfRule>
    <cfRule type="containsText" dxfId="1" priority="13" operator="containsText" text="ABSENT">
      <formula>NOT(ISERROR(SEARCH("ABSENT",A43)))</formula>
    </cfRule>
    <cfRule type="containsText" dxfId="1" priority="14" operator="containsText" text="AB">
      <formula>NOT(ISERROR(SEARCH("AB",A43)))</formula>
    </cfRule>
    <cfRule type="containsText" dxfId="1" priority="15" operator="containsText" text="WITHHELD">
      <formula>NOT(ISERROR(SEARCH("WITHHELD",A43)))</formula>
    </cfRule>
    <cfRule type="containsText" dxfId="1" priority="16" operator="containsText" text="I">
      <formula>NOT(ISERROR(SEARCH("I",A43)))</formula>
    </cfRule>
  </conditionalFormatting>
  <conditionalFormatting sqref="A53:J59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6:K78">
    <cfRule type="containsText" dxfId="1" priority="31" operator="containsText" text="F">
      <formula>NOT(ISERROR(SEARCH("F",A66)))</formula>
    </cfRule>
    <cfRule type="containsText" dxfId="1" priority="32" operator="containsText" text="FE">
      <formula>NOT(ISERROR(SEARCH("FE",A66)))</formula>
    </cfRule>
    <cfRule type="containsText" dxfId="1" priority="33" operator="containsText" text="ABSENT">
      <formula>NOT(ISERROR(SEARCH("ABSENT",A66)))</formula>
    </cfRule>
    <cfRule type="containsText" dxfId="1" priority="34" operator="containsText" text="AB">
      <formula>NOT(ISERROR(SEARCH("AB",A66)))</formula>
    </cfRule>
    <cfRule type="containsText" dxfId="1" priority="35" operator="containsText" text="WITHHELD">
      <formula>NOT(ISERROR(SEARCH("WITHHELD",A66)))</formula>
    </cfRule>
    <cfRule type="containsText" dxfId="1" priority="36" operator="containsText" text="I">
      <formula>NOT(ISERROR(SEARCH("I",A66)))</formula>
    </cfRule>
  </conditionalFormatting>
  <conditionalFormatting sqref="C91:C98">
    <cfRule type="cellIs" dxfId="6" priority="42" operator="lessThan">
      <formula>40</formula>
    </cfRule>
  </conditionalFormatting>
  <conditionalFormatting sqref="E36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43:E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E85">
    <cfRule type="cellIs" dxfId="6" priority="41" operator="lessThan">
      <formula>40</formula>
    </cfRule>
  </conditionalFormatting>
  <conditionalFormatting sqref="J53:J59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66:K78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IFERROR(VLOOKUP("EE_" &amp; UPPER($B$8), _DATA_!$A$2:$AZ$62, 2, FALSE), 0)</f>
        <v>0</v>
      </c>
      <c r="B13" s="21"/>
      <c r="C13" s="21"/>
      <c r="D13" s="21"/>
      <c r="E13" s="22">
        <f>IFERROR(VLOOKUP("EE_" &amp; UPPER($B$8), _DATA_!$A$2:$AZ$62, 3, FALSE), 0)</f>
        <v>0</v>
      </c>
      <c r="F13" s="22"/>
      <c r="G13" s="22"/>
      <c r="H13" s="22"/>
      <c r="I13" s="23">
        <f>IFERROR(VLOOKUP("EE_" &amp; UPPER($B$8), _DATA_!$A$2:$AZ$62, 4, FALSE), 0)</f>
        <v>0</v>
      </c>
      <c r="J13" s="23"/>
      <c r="K13" s="23"/>
      <c r="L13" s="24">
        <f>IFERROR(VLOOKUP("EE_" &amp; UPPER($B$8), _DATA_!$A$2:$AZ$62, 5, FALSE), 0)</f>
        <v>0</v>
      </c>
      <c r="M13" s="24"/>
      <c r="N13" s="24"/>
      <c r="O13" s="24">
        <f>IFERROR(VLOOKUP("EE_"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25">
        <v>0</v>
      </c>
    </row>
    <row r="37" spans="1:6">
      <c r="A37" s="12" t="s">
        <v>238</v>
      </c>
      <c r="B37" s="12" t="s">
        <v>425</v>
      </c>
      <c r="C37" s="12" t="s">
        <v>16</v>
      </c>
      <c r="D37" s="12">
        <v>1</v>
      </c>
      <c r="E37" s="26">
        <v>0</v>
      </c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25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25">
        <v>0</v>
      </c>
    </row>
    <row r="46" spans="1:6">
      <c r="A46" s="12" t="s">
        <v>247</v>
      </c>
      <c r="B46" s="12" t="s">
        <v>425</v>
      </c>
      <c r="C46" s="12" t="s">
        <v>425</v>
      </c>
      <c r="D46" s="12" t="s">
        <v>16</v>
      </c>
      <c r="E46" s="12">
        <v>1</v>
      </c>
      <c r="F46" s="26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5">
        <v>5.5</v>
      </c>
    </row>
    <row r="54" spans="1:12">
      <c r="A54" s="12" t="s">
        <v>249</v>
      </c>
      <c r="B54" s="12" t="s">
        <v>425</v>
      </c>
      <c r="C54" s="12" t="s">
        <v>13</v>
      </c>
      <c r="D54" s="12" t="s">
        <v>16</v>
      </c>
      <c r="E54" s="12" t="s">
        <v>425</v>
      </c>
      <c r="F54" s="12" t="s">
        <v>425</v>
      </c>
      <c r="G54" s="12">
        <v>2</v>
      </c>
      <c r="H54" s="26">
        <v>0</v>
      </c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25">
        <v>0</v>
      </c>
    </row>
    <row r="56" spans="1:12">
      <c r="A56" s="12" t="s">
        <v>253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425</v>
      </c>
      <c r="G56" s="12">
        <v>1</v>
      </c>
      <c r="H56" s="26">
        <v>0</v>
      </c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25">
        <v>0</v>
      </c>
    </row>
    <row r="58" spans="1:12">
      <c r="A58" s="12" t="s">
        <v>255</v>
      </c>
      <c r="B58" s="12" t="s">
        <v>425</v>
      </c>
      <c r="C58" s="12" t="s">
        <v>425</v>
      </c>
      <c r="D58" s="12" t="s">
        <v>46</v>
      </c>
      <c r="E58" s="12" t="s">
        <v>13</v>
      </c>
      <c r="F58" s="12" t="s">
        <v>73</v>
      </c>
      <c r="G58" s="12">
        <v>1</v>
      </c>
      <c r="H58" s="26">
        <v>4.36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25">
        <v>0</v>
      </c>
    </row>
    <row r="66" spans="1:12">
      <c r="A66" s="12" t="s">
        <v>258</v>
      </c>
      <c r="B66" s="12" t="s">
        <v>425</v>
      </c>
      <c r="C66" s="12" t="s">
        <v>425</v>
      </c>
      <c r="D66" s="12" t="s">
        <v>13</v>
      </c>
      <c r="E66" s="12" t="s">
        <v>425</v>
      </c>
      <c r="F66" s="12" t="s">
        <v>425</v>
      </c>
      <c r="G66" s="12" t="s">
        <v>13</v>
      </c>
      <c r="H66" s="12" t="s">
        <v>425</v>
      </c>
      <c r="I66" s="12" t="s">
        <v>425</v>
      </c>
      <c r="J66" s="12" t="s">
        <v>425</v>
      </c>
      <c r="K66" s="12">
        <v>2</v>
      </c>
      <c r="L66" s="26">
        <v>0</v>
      </c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25">
        <v>0</v>
      </c>
    </row>
    <row r="68" spans="1:12">
      <c r="A68" s="12" t="s">
        <v>260</v>
      </c>
      <c r="B68" s="12" t="s">
        <v>425</v>
      </c>
      <c r="C68" s="12" t="s">
        <v>39</v>
      </c>
      <c r="D68" s="12" t="s">
        <v>13</v>
      </c>
      <c r="E68" s="12" t="s">
        <v>425</v>
      </c>
      <c r="F68" s="12" t="s">
        <v>425</v>
      </c>
      <c r="G68" s="12" t="s">
        <v>425</v>
      </c>
      <c r="H68" s="12" t="s">
        <v>425</v>
      </c>
      <c r="I68" s="12" t="s">
        <v>425</v>
      </c>
      <c r="J68" s="12" t="s">
        <v>16</v>
      </c>
      <c r="K68" s="12">
        <v>2</v>
      </c>
      <c r="L68" s="26">
        <v>2</v>
      </c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25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25">
        <v>0.96</v>
      </c>
    </row>
    <row r="77" spans="1:12">
      <c r="A77" s="12" t="s">
        <v>264</v>
      </c>
      <c r="B77" s="12" t="s">
        <v>73</v>
      </c>
      <c r="C77" s="12" t="s">
        <v>64</v>
      </c>
      <c r="D77" s="12" t="s">
        <v>13</v>
      </c>
      <c r="E77" s="12" t="s">
        <v>13</v>
      </c>
      <c r="F77" s="12" t="s">
        <v>13</v>
      </c>
      <c r="G77" s="12" t="s">
        <v>13</v>
      </c>
      <c r="H77" s="12" t="s">
        <v>13</v>
      </c>
      <c r="I77" s="12" t="s">
        <v>13</v>
      </c>
      <c r="J77" s="12">
        <v>6</v>
      </c>
      <c r="K77" s="26">
        <v>1.22</v>
      </c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5">
        <v>6.37</v>
      </c>
    </row>
    <row r="79" spans="1:12">
      <c r="A79" s="12" t="s">
        <v>266</v>
      </c>
      <c r="B79" s="12" t="s">
        <v>93</v>
      </c>
      <c r="C79" s="12" t="s">
        <v>93</v>
      </c>
      <c r="D79" s="12" t="s">
        <v>53</v>
      </c>
      <c r="E79" s="12" t="s">
        <v>93</v>
      </c>
      <c r="F79" s="12" t="s">
        <v>93</v>
      </c>
      <c r="G79" s="12" t="s">
        <v>92</v>
      </c>
      <c r="H79" s="12" t="s">
        <v>64</v>
      </c>
      <c r="I79" s="12" t="s">
        <v>64</v>
      </c>
      <c r="J79" s="12">
        <v>0</v>
      </c>
      <c r="K79" s="26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5">
        <v>7.98</v>
      </c>
    </row>
    <row r="81" spans="1:11">
      <c r="A81" s="12" t="s">
        <v>268</v>
      </c>
      <c r="B81" s="12" t="s">
        <v>92</v>
      </c>
      <c r="C81" s="12" t="s">
        <v>64</v>
      </c>
      <c r="D81" s="12" t="s">
        <v>73</v>
      </c>
      <c r="E81" s="12" t="s">
        <v>64</v>
      </c>
      <c r="F81" s="12" t="s">
        <v>102</v>
      </c>
      <c r="G81" s="12" t="s">
        <v>39</v>
      </c>
      <c r="H81" s="12" t="s">
        <v>46</v>
      </c>
      <c r="I81" s="12" t="s">
        <v>102</v>
      </c>
      <c r="J81" s="12">
        <v>0</v>
      </c>
      <c r="K81" s="26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25">
        <v>1</v>
      </c>
    </row>
    <row r="83" spans="1:11">
      <c r="A83" s="12" t="s">
        <v>270</v>
      </c>
      <c r="B83" s="12" t="s">
        <v>224</v>
      </c>
      <c r="C83" s="12" t="s">
        <v>224</v>
      </c>
      <c r="D83" s="12" t="s">
        <v>224</v>
      </c>
      <c r="E83" s="12" t="s">
        <v>224</v>
      </c>
      <c r="F83" s="12" t="s">
        <v>224</v>
      </c>
      <c r="G83" s="12" t="s">
        <v>224</v>
      </c>
      <c r="H83" s="12" t="s">
        <v>224</v>
      </c>
      <c r="I83" s="12" t="s">
        <v>16</v>
      </c>
      <c r="J83" s="12">
        <v>8</v>
      </c>
      <c r="K83" s="26">
        <v>0</v>
      </c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5">
        <v>6.91</v>
      </c>
    </row>
    <row r="85" spans="1:11">
      <c r="A85" s="12" t="s">
        <v>272</v>
      </c>
      <c r="B85" s="12" t="s">
        <v>64</v>
      </c>
      <c r="C85" s="12" t="s">
        <v>53</v>
      </c>
      <c r="D85" s="12" t="s">
        <v>46</v>
      </c>
      <c r="E85" s="12" t="s">
        <v>46</v>
      </c>
      <c r="F85" s="12" t="s">
        <v>13</v>
      </c>
      <c r="G85" s="12" t="s">
        <v>46</v>
      </c>
      <c r="H85" s="12" t="s">
        <v>13</v>
      </c>
      <c r="I85" s="12" t="s">
        <v>102</v>
      </c>
      <c r="J85" s="12">
        <v>2</v>
      </c>
      <c r="K85" s="26">
        <v>4.13</v>
      </c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5">
        <v>6.3</v>
      </c>
    </row>
    <row r="87" spans="1:11">
      <c r="A87" s="12" t="s">
        <v>274</v>
      </c>
      <c r="B87" s="12" t="s">
        <v>73</v>
      </c>
      <c r="C87" s="12" t="s">
        <v>73</v>
      </c>
      <c r="D87" s="12" t="s">
        <v>13</v>
      </c>
      <c r="E87" s="12" t="s">
        <v>13</v>
      </c>
      <c r="F87" s="12" t="s">
        <v>13</v>
      </c>
      <c r="G87" s="12" t="s">
        <v>13</v>
      </c>
      <c r="H87" s="12" t="s">
        <v>13</v>
      </c>
      <c r="I87" s="12" t="s">
        <v>13</v>
      </c>
      <c r="J87" s="12">
        <v>6</v>
      </c>
      <c r="K87" s="26">
        <v>1.13</v>
      </c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25">
        <v>1.13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7">
        <v>46.15384615384615</v>
      </c>
      <c r="F95" s="27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8">
        <v>92.30769230769231</v>
      </c>
      <c r="D101" s="28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2" t="s">
        <v>261</v>
      </c>
      <c r="B102" s="12" t="s">
        <v>261</v>
      </c>
      <c r="C102" s="29">
        <v>92.30769230769231</v>
      </c>
      <c r="D102" s="29">
        <v>7.692307692307693</v>
      </c>
      <c r="E102" s="12">
        <v>12</v>
      </c>
      <c r="F102" s="12">
        <v>1</v>
      </c>
      <c r="G102" s="12">
        <v>0</v>
      </c>
      <c r="H102" s="12">
        <v>2</v>
      </c>
      <c r="I102" s="12">
        <v>1</v>
      </c>
      <c r="J102" s="12">
        <v>1</v>
      </c>
      <c r="K102" s="12">
        <v>3</v>
      </c>
      <c r="L102" s="12">
        <v>1</v>
      </c>
      <c r="M102" s="12">
        <v>2</v>
      </c>
      <c r="N102" s="12">
        <v>1</v>
      </c>
      <c r="O102" s="12">
        <v>1</v>
      </c>
      <c r="P102" s="12">
        <v>0</v>
      </c>
      <c r="Q102" s="12">
        <v>1</v>
      </c>
      <c r="R102" s="12">
        <v>0</v>
      </c>
      <c r="S102" s="12">
        <v>0</v>
      </c>
    </row>
    <row r="103" spans="1:19">
      <c r="A103" s="7" t="s">
        <v>243</v>
      </c>
      <c r="B103" s="7" t="s">
        <v>244</v>
      </c>
      <c r="C103" s="28">
        <v>53.84615384615385</v>
      </c>
      <c r="D103" s="28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2" t="s">
        <v>245</v>
      </c>
      <c r="B104" s="12" t="s">
        <v>246</v>
      </c>
      <c r="C104" s="29">
        <v>53.84615384615385</v>
      </c>
      <c r="D104" s="29">
        <v>46.15384615384615</v>
      </c>
      <c r="E104" s="12">
        <v>7</v>
      </c>
      <c r="F104" s="12">
        <v>6</v>
      </c>
      <c r="G104" s="12">
        <v>0</v>
      </c>
      <c r="H104" s="12">
        <v>1</v>
      </c>
      <c r="I104" s="12">
        <v>1</v>
      </c>
      <c r="J104" s="12">
        <v>0</v>
      </c>
      <c r="K104" s="12">
        <v>2</v>
      </c>
      <c r="L104" s="12">
        <v>0</v>
      </c>
      <c r="M104" s="12">
        <v>2</v>
      </c>
      <c r="N104" s="12">
        <v>0</v>
      </c>
      <c r="O104" s="12">
        <v>1</v>
      </c>
      <c r="P104" s="12">
        <v>5</v>
      </c>
      <c r="Q104" s="12">
        <v>1</v>
      </c>
      <c r="R104" s="12">
        <v>0</v>
      </c>
      <c r="S104" s="12">
        <v>0</v>
      </c>
    </row>
    <row r="105" spans="1:19">
      <c r="A105" s="7" t="s">
        <v>237</v>
      </c>
      <c r="B105" s="7" t="s">
        <v>237</v>
      </c>
      <c r="C105" s="28">
        <v>46.15384615384615</v>
      </c>
      <c r="D105" s="28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2" t="s">
        <v>239</v>
      </c>
      <c r="B106" s="12" t="s">
        <v>240</v>
      </c>
      <c r="C106" s="29">
        <v>53.84615384615385</v>
      </c>
      <c r="D106" s="29">
        <v>46.15384615384615</v>
      </c>
      <c r="E106" s="12">
        <v>7</v>
      </c>
      <c r="F106" s="12">
        <v>6</v>
      </c>
      <c r="G106" s="12">
        <v>0</v>
      </c>
      <c r="H106" s="12">
        <v>0</v>
      </c>
      <c r="I106" s="12">
        <v>1</v>
      </c>
      <c r="J106" s="12">
        <v>0</v>
      </c>
      <c r="K106" s="12">
        <v>1</v>
      </c>
      <c r="L106" s="12">
        <v>0</v>
      </c>
      <c r="M106" s="12">
        <v>0</v>
      </c>
      <c r="N106" s="12">
        <v>2</v>
      </c>
      <c r="O106" s="12">
        <v>3</v>
      </c>
      <c r="P106" s="12">
        <v>5</v>
      </c>
      <c r="Q106" s="12">
        <v>1</v>
      </c>
      <c r="R106" s="12">
        <v>0</v>
      </c>
      <c r="S106" s="12">
        <v>0</v>
      </c>
    </row>
    <row r="107" spans="1:19">
      <c r="A107" s="7" t="s">
        <v>50</v>
      </c>
      <c r="B107" s="7" t="s">
        <v>51</v>
      </c>
      <c r="C107" s="28">
        <v>46.15384615384615</v>
      </c>
      <c r="D107" s="28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2" t="s">
        <v>28</v>
      </c>
      <c r="B108" s="12" t="s">
        <v>29</v>
      </c>
      <c r="C108" s="29">
        <v>69.23076923076923</v>
      </c>
      <c r="D108" s="29">
        <v>30.76923076923077</v>
      </c>
      <c r="E108" s="12">
        <v>9</v>
      </c>
      <c r="F108" s="12">
        <v>4</v>
      </c>
      <c r="G108" s="12">
        <v>0</v>
      </c>
      <c r="H108" s="12">
        <v>0</v>
      </c>
      <c r="I108" s="12">
        <v>1</v>
      </c>
      <c r="J108" s="12">
        <v>4</v>
      </c>
      <c r="K108" s="12">
        <v>1</v>
      </c>
      <c r="L108" s="12">
        <v>0</v>
      </c>
      <c r="M108" s="12">
        <v>3</v>
      </c>
      <c r="N108" s="12">
        <v>0</v>
      </c>
      <c r="O108" s="12">
        <v>0</v>
      </c>
      <c r="P108" s="12">
        <v>3</v>
      </c>
      <c r="Q108" s="12">
        <v>0</v>
      </c>
      <c r="R108" s="12">
        <v>1</v>
      </c>
      <c r="S108" s="12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A36:E38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5:F46">
    <cfRule type="containsText" dxfId="1" priority="11" operator="containsText" text="F">
      <formula>NOT(ISERROR(SEARCH("F",A45)))</formula>
    </cfRule>
    <cfRule type="containsText" dxfId="1" priority="12" operator="containsText" text="FE">
      <formula>NOT(ISERROR(SEARCH("FE",A45)))</formula>
    </cfRule>
    <cfRule type="containsText" dxfId="1" priority="13" operator="containsText" text="ABSENT">
      <formula>NOT(ISERROR(SEARCH("ABSENT",A45)))</formula>
    </cfRule>
    <cfRule type="containsText" dxfId="1" priority="14" operator="containsText" text="AB">
      <formula>NOT(ISERROR(SEARCH("AB",A45)))</formula>
    </cfRule>
    <cfRule type="containsText" dxfId="1" priority="15" operator="containsText" text="WITHHELD">
      <formula>NOT(ISERROR(SEARCH("WITHHELD",A45)))</formula>
    </cfRule>
    <cfRule type="containsText" dxfId="1" priority="16" operator="containsText" text="I">
      <formula>NOT(ISERROR(SEARCH("I",A45)))</formula>
    </cfRule>
  </conditionalFormatting>
  <conditionalFormatting sqref="A53:H58">
    <cfRule type="containsText" dxfId="1" priority="21" operator="containsText" text="F">
      <formula>NOT(ISERROR(SEARCH("F",A53)))</formula>
    </cfRule>
    <cfRule type="containsText" dxfId="1" priority="22" operator="containsText" text="FE">
      <formula>NOT(ISERROR(SEARCH("FE",A53)))</formula>
    </cfRule>
    <cfRule type="containsText" dxfId="1" priority="23" operator="containsText" text="ABSENT">
      <formula>NOT(ISERROR(SEARCH("ABSENT",A53)))</formula>
    </cfRule>
    <cfRule type="containsText" dxfId="1" priority="24" operator="containsText" text="AB">
      <formula>NOT(ISERROR(SEARCH("AB",A53)))</formula>
    </cfRule>
    <cfRule type="containsText" dxfId="1" priority="25" operator="containsText" text="WITHHELD">
      <formula>NOT(ISERROR(SEARCH("WITHHELD",A53)))</formula>
    </cfRule>
    <cfRule type="containsText" dxfId="1" priority="26" operator="containsText" text="I">
      <formula>NOT(ISERROR(SEARCH("I",A53)))</formula>
    </cfRule>
  </conditionalFormatting>
  <conditionalFormatting sqref="A65:L69">
    <cfRule type="containsText" dxfId="1" priority="31" operator="containsText" text="F">
      <formula>NOT(ISERROR(SEARCH("F",A65)))</formula>
    </cfRule>
    <cfRule type="containsText" dxfId="1" priority="32" operator="containsText" text="FE">
      <formula>NOT(ISERROR(SEARCH("FE",A65)))</formula>
    </cfRule>
    <cfRule type="containsText" dxfId="1" priority="33" operator="containsText" text="ABSENT">
      <formula>NOT(ISERROR(SEARCH("ABSENT",A65)))</formula>
    </cfRule>
    <cfRule type="containsText" dxfId="1" priority="34" operator="containsText" text="AB">
      <formula>NOT(ISERROR(SEARCH("AB",A65)))</formula>
    </cfRule>
    <cfRule type="containsText" dxfId="1" priority="35" operator="containsText" text="WITHHELD">
      <formula>NOT(ISERROR(SEARCH("WITHHELD",A65)))</formula>
    </cfRule>
    <cfRule type="containsText" dxfId="1" priority="36" operator="containsText" text="I">
      <formula>NOT(ISERROR(SEARCH("I",A65)))</formula>
    </cfRule>
  </conditionalFormatting>
  <conditionalFormatting sqref="A76:K88">
    <cfRule type="containsText" dxfId="1" priority="41" operator="containsText" text="F">
      <formula>NOT(ISERROR(SEARCH("F",A76)))</formula>
    </cfRule>
    <cfRule type="containsText" dxfId="1" priority="42" operator="containsText" text="FE">
      <formula>NOT(ISERROR(SEARCH("FE",A76)))</formula>
    </cfRule>
    <cfRule type="containsText" dxfId="1" priority="43" operator="containsText" text="ABSENT">
      <formula>NOT(ISERROR(SEARCH("ABSENT",A76)))</formula>
    </cfRule>
    <cfRule type="containsText" dxfId="1" priority="44" operator="containsText" text="AB">
      <formula>NOT(ISERROR(SEARCH("AB",A76)))</formula>
    </cfRule>
    <cfRule type="containsText" dxfId="1" priority="45" operator="containsText" text="WITHHELD">
      <formula>NOT(ISERROR(SEARCH("WITHHELD",A76)))</formula>
    </cfRule>
    <cfRule type="containsText" dxfId="1" priority="46" operator="containsText" text="I">
      <formula>NOT(ISERROR(SEARCH("I",A76)))</formula>
    </cfRule>
  </conditionalFormatting>
  <conditionalFormatting sqref="C101:C108">
    <cfRule type="cellIs" dxfId="6" priority="52" operator="lessThan">
      <formula>40</formula>
    </cfRule>
  </conditionalFormatting>
  <conditionalFormatting sqref="E36:E38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E95">
    <cfRule type="cellIs" dxfId="6" priority="51" operator="lessThan">
      <formula>40</formula>
    </cfRule>
  </conditionalFormatting>
  <conditionalFormatting sqref="F45:F46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H53:H58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conditionalFormatting sqref="K76:K88">
    <cfRule type="top10" dxfId="2" priority="47" rank="1"/>
    <cfRule type="cellIs" dxfId="3" priority="48" operator="greaterThanOrEqual">
      <formula>8.0</formula>
    </cfRule>
    <cfRule type="cellIs" dxfId="4" priority="49" operator="between">
      <formula>7.5</formula>
      <formula>7.99</formula>
    </cfRule>
    <cfRule type="cellIs" dxfId="5" priority="50" operator="lessThan">
      <formula>7.5</formula>
    </cfRule>
  </conditionalFormatting>
  <conditionalFormatting sqref="L65:L69">
    <cfRule type="top10" dxfId="2" priority="37" rank="1"/>
    <cfRule type="cellIs" dxfId="3" priority="38" operator="greaterThanOrEqual">
      <formula>8.0</formula>
    </cfRule>
    <cfRule type="cellIs" dxfId="4" priority="39" operator="between">
      <formula>7.5</formula>
      <formula>7.99</formula>
    </cfRule>
    <cfRule type="cellIs" dxfId="5" priority="40" operator="lessThan">
      <formula>7.5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6" t="s">
        <v>539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>
      <c r="A5" s="17" t="s">
        <v>540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8" t="s">
        <v>512</v>
      </c>
      <c r="B8" s="19" t="s">
        <v>503</v>
      </c>
    </row>
    <row r="12" spans="1:17">
      <c r="A12" s="20" t="s">
        <v>415</v>
      </c>
      <c r="B12" s="20"/>
      <c r="C12" s="20"/>
      <c r="D12" s="20"/>
      <c r="E12" s="20" t="s">
        <v>416</v>
      </c>
      <c r="F12" s="20"/>
      <c r="G12" s="20"/>
      <c r="H12" s="20"/>
      <c r="I12" s="20" t="s">
        <v>417</v>
      </c>
      <c r="J12" s="20"/>
      <c r="K12" s="20"/>
      <c r="L12" s="20" t="s">
        <v>513</v>
      </c>
      <c r="M12" s="20"/>
      <c r="N12" s="20"/>
      <c r="O12" s="20" t="s">
        <v>514</v>
      </c>
      <c r="P12" s="20"/>
    </row>
    <row r="13" spans="1:17">
      <c r="A13" s="21">
        <f>IFERROR(VLOOKUP("ME_" &amp; UPPER($B$8), _DATA_!$A$2:$AZ$62, 2, FALSE), 0)</f>
        <v>0</v>
      </c>
      <c r="B13" s="21"/>
      <c r="C13" s="21"/>
      <c r="D13" s="21"/>
      <c r="E13" s="22">
        <f>IFERROR(VLOOKUP("ME_" &amp; UPPER($B$8), _DATA_!$A$2:$AZ$62, 3, FALSE), 0)</f>
        <v>0</v>
      </c>
      <c r="F13" s="22"/>
      <c r="G13" s="22"/>
      <c r="H13" s="22"/>
      <c r="I13" s="23">
        <f>IFERROR(VLOOKUP("ME_" &amp; UPPER($B$8), _DATA_!$A$2:$AZ$62, 4, FALSE), 0)</f>
        <v>0</v>
      </c>
      <c r="J13" s="23"/>
      <c r="K13" s="23"/>
      <c r="L13" s="24">
        <f>IFERROR(VLOOKUP("ME_" &amp; UPPER($B$8), _DATA_!$A$2:$AZ$62, 5, FALSE), 0)</f>
        <v>0</v>
      </c>
      <c r="M13" s="24"/>
      <c r="N13" s="24"/>
      <c r="O13" s="24">
        <f>IFERROR(VLOOKUP("ME_" &amp; UPPER($B$8), _DATA_!$A$2:$AZ$62, 6, FALSE), 0)</f>
        <v>0</v>
      </c>
      <c r="P13" s="24"/>
    </row>
    <row r="14" spans="1:17">
      <c r="A14" s="21"/>
      <c r="B14" s="21"/>
      <c r="C14" s="21"/>
      <c r="D14" s="21"/>
      <c r="E14" s="22"/>
      <c r="F14" s="22"/>
      <c r="G14" s="22"/>
      <c r="H14" s="22"/>
      <c r="I14" s="23"/>
      <c r="J14" s="23"/>
      <c r="K14" s="23"/>
      <c r="L14" s="24"/>
      <c r="M14" s="24"/>
      <c r="N14" s="24"/>
      <c r="O14" s="24"/>
      <c r="P14" s="24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25">
        <v>0</v>
      </c>
    </row>
    <row r="37" spans="1:10">
      <c r="A37" s="12" t="s">
        <v>326</v>
      </c>
      <c r="B37" s="12" t="s">
        <v>425</v>
      </c>
      <c r="C37" s="12" t="s">
        <v>16</v>
      </c>
      <c r="D37" s="12" t="s">
        <v>46</v>
      </c>
      <c r="E37" s="12" t="s">
        <v>16</v>
      </c>
      <c r="F37" s="12" t="s">
        <v>13</v>
      </c>
      <c r="G37" s="12" t="s">
        <v>16</v>
      </c>
      <c r="H37" s="12" t="s">
        <v>16</v>
      </c>
      <c r="I37" s="12">
        <v>5</v>
      </c>
      <c r="J37" s="26">
        <v>0</v>
      </c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25">
        <v>0</v>
      </c>
    </row>
    <row r="39" spans="1:10">
      <c r="A39" s="12" t="s">
        <v>330</v>
      </c>
      <c r="B39" s="12" t="s">
        <v>425</v>
      </c>
      <c r="C39" s="12" t="s">
        <v>425</v>
      </c>
      <c r="D39" s="12" t="s">
        <v>425</v>
      </c>
      <c r="E39" s="12" t="s">
        <v>425</v>
      </c>
      <c r="F39" s="12" t="s">
        <v>425</v>
      </c>
      <c r="G39" s="12" t="s">
        <v>425</v>
      </c>
      <c r="H39" s="12" t="s">
        <v>16</v>
      </c>
      <c r="I39" s="12">
        <v>1</v>
      </c>
      <c r="J39" s="26">
        <v>0</v>
      </c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25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25">
        <v>0</v>
      </c>
    </row>
    <row r="48" spans="1:10">
      <c r="A48" s="12" t="s">
        <v>333</v>
      </c>
      <c r="B48" s="12" t="s">
        <v>13</v>
      </c>
      <c r="C48" s="12" t="s">
        <v>425</v>
      </c>
      <c r="D48" s="12" t="s">
        <v>73</v>
      </c>
      <c r="E48" s="12" t="s">
        <v>73</v>
      </c>
      <c r="F48" s="12" t="s">
        <v>13</v>
      </c>
      <c r="G48" s="12" t="s">
        <v>13</v>
      </c>
      <c r="H48" s="12">
        <v>3</v>
      </c>
      <c r="I48" s="26">
        <v>1.73</v>
      </c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25">
        <v>0</v>
      </c>
    </row>
    <row r="50" spans="1:9">
      <c r="A50" s="12" t="s">
        <v>335</v>
      </c>
      <c r="B50" s="12" t="s">
        <v>425</v>
      </c>
      <c r="C50" s="12" t="s">
        <v>425</v>
      </c>
      <c r="D50" s="12" t="s">
        <v>13</v>
      </c>
      <c r="E50" s="12" t="s">
        <v>425</v>
      </c>
      <c r="F50" s="12" t="s">
        <v>425</v>
      </c>
      <c r="G50" s="12" t="s">
        <v>425</v>
      </c>
      <c r="H50" s="12">
        <v>1</v>
      </c>
      <c r="I50" s="26">
        <v>0</v>
      </c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25">
        <v>0</v>
      </c>
    </row>
    <row r="52" spans="1:9">
      <c r="A52" s="12" t="s">
        <v>337</v>
      </c>
      <c r="B52" s="12" t="s">
        <v>425</v>
      </c>
      <c r="C52" s="12" t="s">
        <v>425</v>
      </c>
      <c r="D52" s="12" t="s">
        <v>425</v>
      </c>
      <c r="E52" s="12" t="s">
        <v>425</v>
      </c>
      <c r="F52" s="12" t="s">
        <v>13</v>
      </c>
      <c r="G52" s="12" t="s">
        <v>13</v>
      </c>
      <c r="H52" s="12">
        <v>2</v>
      </c>
      <c r="I52" s="26">
        <v>0</v>
      </c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25">
        <v>0</v>
      </c>
    </row>
    <row r="54" spans="1:9">
      <c r="A54" s="12" t="s">
        <v>339</v>
      </c>
      <c r="B54" s="12" t="s">
        <v>425</v>
      </c>
      <c r="C54" s="12" t="s">
        <v>16</v>
      </c>
      <c r="D54" s="12" t="s">
        <v>425</v>
      </c>
      <c r="E54" s="12" t="s">
        <v>425</v>
      </c>
      <c r="F54" s="12" t="s">
        <v>13</v>
      </c>
      <c r="G54" s="12" t="s">
        <v>13</v>
      </c>
      <c r="H54" s="12">
        <v>3</v>
      </c>
      <c r="I54" s="26">
        <v>0</v>
      </c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25">
        <v>0</v>
      </c>
    </row>
    <row r="56" spans="1:9">
      <c r="A56" s="12" t="s">
        <v>341</v>
      </c>
      <c r="B56" s="12" t="s">
        <v>425</v>
      </c>
      <c r="C56" s="12" t="s">
        <v>425</v>
      </c>
      <c r="D56" s="12" t="s">
        <v>13</v>
      </c>
      <c r="E56" s="12" t="s">
        <v>425</v>
      </c>
      <c r="F56" s="12" t="s">
        <v>13</v>
      </c>
      <c r="G56" s="12" t="s">
        <v>13</v>
      </c>
      <c r="H56" s="12">
        <v>3</v>
      </c>
      <c r="I56" s="26">
        <v>0</v>
      </c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25">
        <v>0</v>
      </c>
    </row>
    <row r="58" spans="1:9">
      <c r="A58" s="12" t="s">
        <v>343</v>
      </c>
      <c r="B58" s="12" t="s">
        <v>13</v>
      </c>
      <c r="C58" s="12" t="s">
        <v>425</v>
      </c>
      <c r="D58" s="12" t="s">
        <v>16</v>
      </c>
      <c r="E58" s="12" t="s">
        <v>425</v>
      </c>
      <c r="F58" s="12" t="s">
        <v>425</v>
      </c>
      <c r="G58" s="12" t="s">
        <v>13</v>
      </c>
      <c r="H58" s="12">
        <v>3</v>
      </c>
      <c r="I58" s="26">
        <v>0</v>
      </c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25">
        <v>0</v>
      </c>
    </row>
    <row r="60" spans="1:9">
      <c r="A60" s="12" t="s">
        <v>345</v>
      </c>
      <c r="B60" s="12" t="s">
        <v>13</v>
      </c>
      <c r="C60" s="12" t="s">
        <v>13</v>
      </c>
      <c r="D60" s="12" t="s">
        <v>46</v>
      </c>
      <c r="E60" s="12" t="s">
        <v>425</v>
      </c>
      <c r="F60" s="12" t="s">
        <v>425</v>
      </c>
      <c r="G60" s="12" t="s">
        <v>425</v>
      </c>
      <c r="H60" s="12">
        <v>2</v>
      </c>
      <c r="I60" s="26">
        <v>0</v>
      </c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25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25">
        <v>3.48</v>
      </c>
    </row>
    <row r="69" spans="1:11">
      <c r="A69" s="12" t="s">
        <v>350</v>
      </c>
      <c r="B69" s="12" t="s">
        <v>73</v>
      </c>
      <c r="C69" s="12" t="s">
        <v>64</v>
      </c>
      <c r="D69" s="12" t="s">
        <v>95</v>
      </c>
      <c r="E69" s="12" t="s">
        <v>93</v>
      </c>
      <c r="F69" s="12" t="s">
        <v>46</v>
      </c>
      <c r="G69" s="12" t="s">
        <v>46</v>
      </c>
      <c r="H69" s="12" t="s">
        <v>73</v>
      </c>
      <c r="I69" s="12" t="s">
        <v>73</v>
      </c>
      <c r="J69" s="12">
        <v>0</v>
      </c>
      <c r="K69" s="26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25">
        <v>2.61</v>
      </c>
    </row>
    <row r="71" spans="1:11">
      <c r="A71" s="12" t="s">
        <v>352</v>
      </c>
      <c r="B71" s="12" t="s">
        <v>16</v>
      </c>
      <c r="C71" s="12" t="s">
        <v>13</v>
      </c>
      <c r="D71" s="12" t="s">
        <v>64</v>
      </c>
      <c r="E71" s="12" t="s">
        <v>73</v>
      </c>
      <c r="F71" s="12" t="s">
        <v>13</v>
      </c>
      <c r="G71" s="12" t="s">
        <v>13</v>
      </c>
      <c r="H71" s="12" t="s">
        <v>13</v>
      </c>
      <c r="I71" s="12" t="s">
        <v>13</v>
      </c>
      <c r="J71" s="12">
        <v>6</v>
      </c>
      <c r="K71" s="26">
        <v>1.22</v>
      </c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25">
        <v>1.22</v>
      </c>
    </row>
    <row r="73" spans="1:11">
      <c r="A73" s="12" t="s">
        <v>354</v>
      </c>
      <c r="B73" s="12" t="s">
        <v>73</v>
      </c>
      <c r="C73" s="12" t="s">
        <v>92</v>
      </c>
      <c r="D73" s="12" t="s">
        <v>95</v>
      </c>
      <c r="E73" s="12" t="s">
        <v>92</v>
      </c>
      <c r="F73" s="12" t="s">
        <v>64</v>
      </c>
      <c r="G73" s="12" t="s">
        <v>46</v>
      </c>
      <c r="H73" s="12" t="s">
        <v>39</v>
      </c>
      <c r="I73" s="12" t="s">
        <v>13</v>
      </c>
      <c r="J73" s="12">
        <v>1</v>
      </c>
      <c r="K73" s="26">
        <v>5.76</v>
      </c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5">
        <v>7.48</v>
      </c>
    </row>
    <row r="75" spans="1:11">
      <c r="A75" s="12" t="s">
        <v>356</v>
      </c>
      <c r="B75" s="12" t="s">
        <v>46</v>
      </c>
      <c r="C75" s="12" t="s">
        <v>13</v>
      </c>
      <c r="D75" s="12" t="s">
        <v>95</v>
      </c>
      <c r="E75" s="12" t="s">
        <v>93</v>
      </c>
      <c r="F75" s="12" t="s">
        <v>39</v>
      </c>
      <c r="G75" s="12" t="s">
        <v>13</v>
      </c>
      <c r="H75" s="12" t="s">
        <v>53</v>
      </c>
      <c r="I75" s="12" t="s">
        <v>53</v>
      </c>
      <c r="J75" s="12">
        <v>2</v>
      </c>
      <c r="K75" s="26">
        <v>5.85</v>
      </c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5">
        <v>1.3</v>
      </c>
    </row>
    <row r="77" spans="1:11">
      <c r="A77" s="12" t="s">
        <v>358</v>
      </c>
      <c r="B77" s="12" t="s">
        <v>46</v>
      </c>
      <c r="C77" s="12" t="s">
        <v>39</v>
      </c>
      <c r="D77" s="12" t="s">
        <v>64</v>
      </c>
      <c r="E77" s="12" t="s">
        <v>53</v>
      </c>
      <c r="F77" s="12" t="s">
        <v>13</v>
      </c>
      <c r="G77" s="12" t="s">
        <v>13</v>
      </c>
      <c r="H77" s="12" t="s">
        <v>46</v>
      </c>
      <c r="I77" s="12" t="s">
        <v>13</v>
      </c>
      <c r="J77" s="12">
        <v>3</v>
      </c>
      <c r="K77" s="26">
        <v>2.93</v>
      </c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25">
        <v>1.43</v>
      </c>
    </row>
    <row r="79" spans="1:11">
      <c r="A79" s="12" t="s">
        <v>360</v>
      </c>
      <c r="B79" s="12" t="s">
        <v>16</v>
      </c>
      <c r="C79" s="12" t="s">
        <v>39</v>
      </c>
      <c r="D79" s="12" t="s">
        <v>64</v>
      </c>
      <c r="E79" s="12" t="s">
        <v>73</v>
      </c>
      <c r="F79" s="12" t="s">
        <v>13</v>
      </c>
      <c r="G79" s="12" t="s">
        <v>13</v>
      </c>
      <c r="H79" s="12" t="s">
        <v>46</v>
      </c>
      <c r="I79" s="12" t="s">
        <v>16</v>
      </c>
      <c r="J79" s="12">
        <v>4</v>
      </c>
      <c r="K79" s="26">
        <v>2.17</v>
      </c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5">
        <v>1.43</v>
      </c>
    </row>
    <row r="81" spans="1:19">
      <c r="A81" s="12" t="s">
        <v>362</v>
      </c>
      <c r="B81" s="12" t="s">
        <v>46</v>
      </c>
      <c r="C81" s="12" t="s">
        <v>53</v>
      </c>
      <c r="D81" s="12" t="s">
        <v>95</v>
      </c>
      <c r="E81" s="12" t="s">
        <v>92</v>
      </c>
      <c r="F81" s="12" t="s">
        <v>46</v>
      </c>
      <c r="G81" s="12" t="s">
        <v>46</v>
      </c>
      <c r="H81" s="12" t="s">
        <v>39</v>
      </c>
      <c r="I81" s="12" t="s">
        <v>64</v>
      </c>
      <c r="J81" s="12">
        <v>0</v>
      </c>
      <c r="K81" s="26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7">
        <v>21.42857142857143</v>
      </c>
      <c r="F88" s="27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8">
        <v>42.85714285714285</v>
      </c>
      <c r="D94" s="28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2" t="s">
        <v>28</v>
      </c>
      <c r="B95" s="12" t="s">
        <v>29</v>
      </c>
      <c r="C95" s="29">
        <v>64.28571428571429</v>
      </c>
      <c r="D95" s="29">
        <v>35.71428571428571</v>
      </c>
      <c r="E95" s="12">
        <v>9</v>
      </c>
      <c r="F95" s="12">
        <v>5</v>
      </c>
      <c r="G95" s="12">
        <v>0</v>
      </c>
      <c r="H95" s="12">
        <v>0</v>
      </c>
      <c r="I95" s="12">
        <v>1</v>
      </c>
      <c r="J95" s="12">
        <v>0</v>
      </c>
      <c r="K95" s="12">
        <v>2</v>
      </c>
      <c r="L95" s="12">
        <v>2</v>
      </c>
      <c r="M95" s="12">
        <v>1</v>
      </c>
      <c r="N95" s="12">
        <v>3</v>
      </c>
      <c r="O95" s="12">
        <v>0</v>
      </c>
      <c r="P95" s="12">
        <v>5</v>
      </c>
      <c r="Q95" s="12">
        <v>0</v>
      </c>
      <c r="R95" s="12">
        <v>0</v>
      </c>
      <c r="S95" s="12">
        <v>0</v>
      </c>
    </row>
    <row r="96" spans="1:19">
      <c r="A96" s="7" t="s">
        <v>349</v>
      </c>
      <c r="B96" s="7" t="s">
        <v>349</v>
      </c>
      <c r="C96" s="28">
        <v>100</v>
      </c>
      <c r="D96" s="28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2" t="s">
        <v>348</v>
      </c>
      <c r="B97" s="12" t="s">
        <v>348</v>
      </c>
      <c r="C97" s="29">
        <v>100</v>
      </c>
      <c r="D97" s="29">
        <v>0</v>
      </c>
      <c r="E97" s="12">
        <v>14</v>
      </c>
      <c r="F97" s="12">
        <v>0</v>
      </c>
      <c r="G97" s="12">
        <v>1</v>
      </c>
      <c r="H97" s="12">
        <v>2</v>
      </c>
      <c r="I97" s="12">
        <v>2</v>
      </c>
      <c r="J97" s="12">
        <v>2</v>
      </c>
      <c r="K97" s="12">
        <v>3</v>
      </c>
      <c r="L97" s="12">
        <v>1</v>
      </c>
      <c r="M97" s="12">
        <v>3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</row>
    <row r="98" spans="1:19">
      <c r="A98" s="7" t="s">
        <v>327</v>
      </c>
      <c r="B98" s="7" t="s">
        <v>327</v>
      </c>
      <c r="C98" s="28">
        <v>42.85714285714285</v>
      </c>
      <c r="D98" s="28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2" t="s">
        <v>328</v>
      </c>
      <c r="B99" s="12" t="s">
        <v>328</v>
      </c>
      <c r="C99" s="29">
        <v>28.57142857142857</v>
      </c>
      <c r="D99" s="29">
        <v>71.42857142857143</v>
      </c>
      <c r="E99" s="12">
        <v>4</v>
      </c>
      <c r="F99" s="12">
        <v>10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1</v>
      </c>
      <c r="N99" s="12">
        <v>0</v>
      </c>
      <c r="O99" s="12">
        <v>3</v>
      </c>
      <c r="P99" s="12">
        <v>8</v>
      </c>
      <c r="Q99" s="12">
        <v>0</v>
      </c>
      <c r="R99" s="12">
        <v>2</v>
      </c>
      <c r="S99" s="12">
        <v>0</v>
      </c>
    </row>
    <row r="100" spans="1:19">
      <c r="A100" s="7" t="s">
        <v>324</v>
      </c>
      <c r="B100" s="7" t="s">
        <v>324</v>
      </c>
      <c r="C100" s="28">
        <v>64.28571428571429</v>
      </c>
      <c r="D100" s="28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2" t="s">
        <v>325</v>
      </c>
      <c r="B101" s="12" t="s">
        <v>325</v>
      </c>
      <c r="C101" s="29">
        <v>28.57142857142857</v>
      </c>
      <c r="D101" s="29">
        <v>71.42857142857143</v>
      </c>
      <c r="E101" s="12">
        <v>4</v>
      </c>
      <c r="F101" s="12">
        <v>10</v>
      </c>
      <c r="G101" s="12">
        <v>0</v>
      </c>
      <c r="H101" s="12">
        <v>0</v>
      </c>
      <c r="I101" s="12">
        <v>0</v>
      </c>
      <c r="J101" s="12">
        <v>0</v>
      </c>
      <c r="K101" s="12">
        <v>2</v>
      </c>
      <c r="L101" s="12">
        <v>1</v>
      </c>
      <c r="M101" s="12">
        <v>1</v>
      </c>
      <c r="N101" s="12">
        <v>0</v>
      </c>
      <c r="O101" s="12">
        <v>0</v>
      </c>
      <c r="P101" s="12">
        <v>8</v>
      </c>
      <c r="Q101" s="12">
        <v>0</v>
      </c>
      <c r="R101" s="12">
        <v>2</v>
      </c>
      <c r="S101" s="12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A36:J40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A47:I61">
    <cfRule type="containsText" dxfId="1" priority="11" operator="containsText" text="F">
      <formula>NOT(ISERROR(SEARCH("F",A47)))</formula>
    </cfRule>
    <cfRule type="containsText" dxfId="1" priority="12" operator="containsText" text="FE">
      <formula>NOT(ISERROR(SEARCH("FE",A47)))</formula>
    </cfRule>
    <cfRule type="containsText" dxfId="1" priority="13" operator="containsText" text="ABSENT">
      <formula>NOT(ISERROR(SEARCH("ABSENT",A47)))</formula>
    </cfRule>
    <cfRule type="containsText" dxfId="1" priority="14" operator="containsText" text="AB">
      <formula>NOT(ISERROR(SEARCH("AB",A47)))</formula>
    </cfRule>
    <cfRule type="containsText" dxfId="1" priority="15" operator="containsText" text="WITHHELD">
      <formula>NOT(ISERROR(SEARCH("WITHHELD",A47)))</formula>
    </cfRule>
    <cfRule type="containsText" dxfId="1" priority="16" operator="containsText" text="I">
      <formula>NOT(ISERROR(SEARCH("I",A47)))</formula>
    </cfRule>
  </conditionalFormatting>
  <conditionalFormatting sqref="A68:K81">
    <cfRule type="containsText" dxfId="1" priority="21" operator="containsText" text="F">
      <formula>NOT(ISERROR(SEARCH("F",A68)))</formula>
    </cfRule>
    <cfRule type="containsText" dxfId="1" priority="22" operator="containsText" text="FE">
      <formula>NOT(ISERROR(SEARCH("FE",A68)))</formula>
    </cfRule>
    <cfRule type="containsText" dxfId="1" priority="23" operator="containsText" text="ABSENT">
      <formula>NOT(ISERROR(SEARCH("ABSENT",A68)))</formula>
    </cfRule>
    <cfRule type="containsText" dxfId="1" priority="24" operator="containsText" text="AB">
      <formula>NOT(ISERROR(SEARCH("AB",A68)))</formula>
    </cfRule>
    <cfRule type="containsText" dxfId="1" priority="25" operator="containsText" text="WITHHELD">
      <formula>NOT(ISERROR(SEARCH("WITHHELD",A68)))</formula>
    </cfRule>
    <cfRule type="containsText" dxfId="1" priority="26" operator="containsText" text="I">
      <formula>NOT(ISERROR(SEARCH("I",A68)))</formula>
    </cfRule>
  </conditionalFormatting>
  <conditionalFormatting sqref="C94:C101">
    <cfRule type="cellIs" dxfId="6" priority="32" operator="lessThan">
      <formula>40</formula>
    </cfRule>
  </conditionalFormatting>
  <conditionalFormatting sqref="E88">
    <cfRule type="cellIs" dxfId="6" priority="31" operator="lessThan">
      <formula>40</formula>
    </cfRule>
  </conditionalFormatting>
  <conditionalFormatting sqref="I47:I61">
    <cfRule type="top10" dxfId="2" priority="17" rank="1"/>
    <cfRule type="cellIs" dxfId="3" priority="18" operator="greaterThanOrEqual">
      <formula>8.0</formula>
    </cfRule>
    <cfRule type="cellIs" dxfId="4" priority="19" operator="between">
      <formula>7.5</formula>
      <formula>7.99</formula>
    </cfRule>
    <cfRule type="cellIs" dxfId="5" priority="20" operator="lessThan">
      <formula>7.5</formula>
    </cfRule>
  </conditionalFormatting>
  <conditionalFormatting sqref="J36:J40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conditionalFormatting sqref="K68:K81">
    <cfRule type="top10" dxfId="2" priority="27" rank="1"/>
    <cfRule type="cellIs" dxfId="3" priority="28" operator="greaterThanOrEqual">
      <formula>8.0</formula>
    </cfRule>
    <cfRule type="cellIs" dxfId="4" priority="29" operator="between">
      <formula>7.5</formula>
      <formula>7.99</formula>
    </cfRule>
    <cfRule type="cellIs" dxfId="5" priority="30" operator="lessThan">
      <formula>7.5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2026-03-24T17:10:53Z</dcterms:created>
  <dcterms:modified xsi:type="dcterms:W3CDTF">2026-03-24T17:10:53Z</dcterms:modified>
</cp:coreProperties>
</file>